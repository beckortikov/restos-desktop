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люда" sheetId="1" state="visible" r:id="rId1"/>
    <sheet xmlns:r="http://schemas.openxmlformats.org/officeDocument/2006/relationships" name="Техкарты" sheetId="2" state="visible" r:id="rId2"/>
    <sheet xmlns:r="http://schemas.openxmlformats.org/officeDocument/2006/relationships" name="Ингредиенты" sheetId="3" state="visible" r:id="rId3"/>
    <sheet xmlns:r="http://schemas.openxmlformats.org/officeDocument/2006/relationships" name="Инструкц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0000FF"/>
    </font>
    <font>
      <i val="1"/>
      <color rgb="00666666"/>
    </font>
    <font>
      <b val="1"/>
      <sz val="14"/>
    </font>
    <font>
      <b val="1"/>
      <sz val="11"/>
    </font>
    <font>
      <b val="1"/>
      <color rgb="00FF0000"/>
    </font>
    <font/>
    <font>
      <b val="1"/>
      <sz val="16"/>
    </font>
    <font>
      <color rgb="00888888"/>
      <sz val="11"/>
    </font>
    <font>
      <b val="1"/>
      <sz val="12"/>
    </font>
    <font>
      <b val="1"/>
      <color rgb="000000FF"/>
    </font>
    <font>
      <color rgb="00006400"/>
    </font>
  </fonts>
  <fills count="4">
    <fill>
      <patternFill/>
    </fill>
    <fill>
      <patternFill patternType="gray125"/>
    </fill>
    <fill>
      <patternFill patternType="solid">
        <fgColor rgb="00E87C4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4" fontId="2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12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3" fillId="3" borderId="1" pivotButton="0" quotePrefix="0" xfId="0"/>
    <xf numFmtId="4" fontId="1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16" customWidth="1" min="4" max="4"/>
    <col width="14" customWidth="1" min="5" max="5"/>
    <col width="18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>
      <c r="A1" s="1" t="inlineStr">
        <is>
          <t>№</t>
        </is>
      </c>
      <c r="B1" s="1" t="inlineStr">
        <is>
          <t>Категория</t>
        </is>
      </c>
      <c r="C1" s="1" t="inlineStr">
        <is>
          <t>Название</t>
        </is>
      </c>
      <c r="D1" s="1" t="inlineStr">
        <is>
          <t>Станция</t>
        </is>
      </c>
      <c r="E1" s="18" t="inlineStr">
        <is>
          <t>Вес порции (г) ↻</t>
        </is>
      </c>
      <c r="F1" s="18" t="inlineStr">
        <is>
          <t>Себест. порции (TJS) ↻</t>
        </is>
      </c>
      <c r="G1" s="1" t="inlineStr">
        <is>
          <t>Цена продажи (TJS)</t>
        </is>
      </c>
      <c r="H1" s="1" t="inlineStr">
        <is>
          <t>Food Cost %</t>
        </is>
      </c>
      <c r="I1" s="1" t="inlineStr">
        <is>
          <t>Наценка %</t>
        </is>
      </c>
      <c r="J1" s="18" t="inlineStr">
        <is>
          <t>Кол-во ингр. ↻</t>
        </is>
      </c>
      <c r="K1" s="1" t="inlineStr">
        <is>
          <t>Время (мин)</t>
        </is>
      </c>
      <c r="L1" s="1" t="inlineStr">
        <is>
          <t>Доступно</t>
        </is>
      </c>
    </row>
    <row r="2">
      <c r="A2" s="2" t="n">
        <v>1</v>
      </c>
      <c r="B2" s="2" t="inlineStr">
        <is>
          <t>Салаты</t>
        </is>
      </c>
      <c r="C2" s="3" t="inlineStr">
        <is>
          <t>Салат Каприз</t>
        </is>
      </c>
      <c r="D2" s="2" t="inlineStr">
        <is>
          <t>cold_kitchen</t>
        </is>
      </c>
      <c r="E2" s="19">
        <f>SUMIF(Техкарты!A:A,C2,Техкарты!D:D)</f>
        <v/>
      </c>
      <c r="F2" s="20">
        <f>SUMIF(Техкарты!A:A,C2,Техкарты!G:G)</f>
        <v/>
      </c>
      <c r="G2" s="2" t="n">
        <v>22</v>
      </c>
      <c r="H2" s="5">
        <f>IF(G2&gt;0,F2/G2*100,0)</f>
        <v/>
      </c>
      <c r="I2" s="5">
        <f>IF(F2&gt;0,(G2-F2)/F2*100,0)</f>
        <v/>
      </c>
      <c r="J2" s="19">
        <f>COUNTIF(Техкарты!A:A,C2)</f>
        <v/>
      </c>
      <c r="K2" s="6" t="inlineStr"/>
      <c r="L2" s="2" t="inlineStr">
        <is>
          <t>Да</t>
        </is>
      </c>
    </row>
    <row r="3">
      <c r="A3" s="2" t="n">
        <v>2</v>
      </c>
      <c r="B3" s="2" t="inlineStr">
        <is>
          <t>Супы</t>
        </is>
      </c>
      <c r="C3" s="3" t="inlineStr">
        <is>
          <t>Мастова</t>
        </is>
      </c>
      <c r="D3" s="2" t="inlineStr">
        <is>
          <t>hot_kitchen</t>
        </is>
      </c>
      <c r="E3" s="19">
        <f>SUMIF(Техкарты!A:A,C3,Техкарты!D:D)</f>
        <v/>
      </c>
      <c r="F3" s="20">
        <f>SUMIF(Техкарты!A:A,C3,Техкарты!G:G)</f>
        <v/>
      </c>
      <c r="G3" s="2" t="n">
        <v>12</v>
      </c>
      <c r="H3" s="5">
        <f>IF(G3&gt;0,F3/G3*100,0)</f>
        <v/>
      </c>
      <c r="I3" s="5">
        <f>IF(F3&gt;0,(G3-F3)/F3*100,0)</f>
        <v/>
      </c>
      <c r="J3" s="19">
        <f>COUNTIF(Техкарты!A:A,C3)</f>
        <v/>
      </c>
      <c r="K3" s="6" t="inlineStr"/>
      <c r="L3" s="2" t="inlineStr">
        <is>
          <t>Да</t>
        </is>
      </c>
    </row>
    <row r="4">
      <c r="A4" s="2" t="n">
        <v>3</v>
      </c>
      <c r="B4" s="2" t="inlineStr">
        <is>
          <t>Супы</t>
        </is>
      </c>
      <c r="C4" s="3" t="inlineStr">
        <is>
          <t>Реза Шурбо</t>
        </is>
      </c>
      <c r="D4" s="2" t="inlineStr">
        <is>
          <t>hot_kitchen</t>
        </is>
      </c>
      <c r="E4" s="19">
        <f>SUMIF(Техкарты!A:A,C4,Техкарты!D:D)</f>
        <v/>
      </c>
      <c r="F4" s="20">
        <f>SUMIF(Техкарты!A:A,C4,Техкарты!G:G)</f>
        <v/>
      </c>
      <c r="G4" s="2" t="n">
        <v>16</v>
      </c>
      <c r="H4" s="5">
        <f>IF(G4&gt;0,F4/G4*100,0)</f>
        <v/>
      </c>
      <c r="I4" s="5">
        <f>IF(F4&gt;0,(G4-F4)/F4*100,0)</f>
        <v/>
      </c>
      <c r="J4" s="19">
        <f>COUNTIF(Техкарты!A:A,C4)</f>
        <v/>
      </c>
      <c r="K4" s="6" t="inlineStr"/>
      <c r="L4" s="2" t="inlineStr">
        <is>
          <t>Да</t>
        </is>
      </c>
    </row>
    <row r="5">
      <c r="A5" s="2" t="n">
        <v>4</v>
      </c>
      <c r="B5" s="2" t="inlineStr">
        <is>
          <t>Супы</t>
        </is>
      </c>
      <c r="C5" s="3" t="inlineStr">
        <is>
          <t>Лагман</t>
        </is>
      </c>
      <c r="D5" s="2" t="inlineStr">
        <is>
          <t>hot_kitchen</t>
        </is>
      </c>
      <c r="E5" s="19">
        <f>SUMIF(Техкарты!A:A,C5,Техкарты!D:D)</f>
        <v/>
      </c>
      <c r="F5" s="20">
        <f>SUMIF(Техкарты!A:A,C5,Техкарты!G:G)</f>
        <v/>
      </c>
      <c r="G5" s="2" t="n">
        <v>25</v>
      </c>
      <c r="H5" s="5">
        <f>IF(G5&gt;0,F5/G5*100,0)</f>
        <v/>
      </c>
      <c r="I5" s="5">
        <f>IF(F5&gt;0,(G5-F5)/F5*100,0)</f>
        <v/>
      </c>
      <c r="J5" s="19">
        <f>COUNTIF(Техкарты!A:A,C5)</f>
        <v/>
      </c>
      <c r="K5" s="6" t="inlineStr"/>
      <c r="L5" s="2" t="inlineStr">
        <is>
          <t>Да</t>
        </is>
      </c>
    </row>
    <row r="6">
      <c r="A6" s="2" t="n">
        <v>5</v>
      </c>
      <c r="B6" s="2" t="inlineStr">
        <is>
          <t>Супы</t>
        </is>
      </c>
      <c r="C6" s="3" t="inlineStr">
        <is>
          <t>Хом Шурво</t>
        </is>
      </c>
      <c r="D6" s="2" t="inlineStr">
        <is>
          <t>hot_kitchen</t>
        </is>
      </c>
      <c r="E6" s="19">
        <f>SUMIF(Техкарты!A:A,C6,Техкарты!D:D)</f>
        <v/>
      </c>
      <c r="F6" s="20">
        <f>SUMIF(Техкарты!A:A,C6,Техкарты!G:G)</f>
        <v/>
      </c>
      <c r="G6" s="2" t="n">
        <v>20</v>
      </c>
      <c r="H6" s="5">
        <f>IF(G6&gt;0,F6/G6*100,0)</f>
        <v/>
      </c>
      <c r="I6" s="5">
        <f>IF(F6&gt;0,(G6-F6)/F6*100,0)</f>
        <v/>
      </c>
      <c r="J6" s="19">
        <f>COUNTIF(Техкарты!A:A,C6)</f>
        <v/>
      </c>
      <c r="K6" s="6" t="inlineStr"/>
      <c r="L6" s="2" t="inlineStr">
        <is>
          <t>Да</t>
        </is>
      </c>
    </row>
    <row r="7">
      <c r="A7" s="2" t="n">
        <v>6</v>
      </c>
      <c r="B7" s="2" t="inlineStr">
        <is>
          <t>Супы</t>
        </is>
      </c>
      <c r="C7" s="3" t="inlineStr">
        <is>
          <t>3В1</t>
        </is>
      </c>
      <c r="D7" s="2" t="inlineStr">
        <is>
          <t>hot_kitchen</t>
        </is>
      </c>
      <c r="E7" s="19">
        <f>SUMIF(Техкарты!A:A,C7,Техкарты!D:D)</f>
        <v/>
      </c>
      <c r="F7" s="20">
        <f>SUMIF(Техкарты!A:A,C7,Техкарты!G:G)</f>
        <v/>
      </c>
      <c r="G7" s="6" t="inlineStr"/>
      <c r="H7" s="5">
        <f>IF(G7&gt;0,F7/G7*100,0)</f>
        <v/>
      </c>
      <c r="I7" s="5">
        <f>IF(F7&gt;0,(G7-F7)/F7*100,0)</f>
        <v/>
      </c>
      <c r="J7" s="19">
        <f>COUNTIF(Техкарты!A:A,C7)</f>
        <v/>
      </c>
      <c r="K7" s="6" t="inlineStr"/>
      <c r="L7" s="2" t="inlineStr">
        <is>
          <t>Да</t>
        </is>
      </c>
    </row>
    <row r="8">
      <c r="A8" s="2" t="n">
        <v>7</v>
      </c>
      <c r="B8" s="2" t="inlineStr">
        <is>
          <t>Супы</t>
        </is>
      </c>
      <c r="C8" s="3" t="inlineStr">
        <is>
          <t>Жавари</t>
        </is>
      </c>
      <c r="D8" s="2" t="inlineStr">
        <is>
          <t>hot_kitchen</t>
        </is>
      </c>
      <c r="E8" s="19">
        <f>SUMIF(Техкарты!A:A,C8,Техкарты!D:D)</f>
        <v/>
      </c>
      <c r="F8" s="20">
        <f>SUMIF(Техкарты!A:A,C8,Техкарты!G:G)</f>
        <v/>
      </c>
      <c r="G8" s="2" t="n">
        <v>14</v>
      </c>
      <c r="H8" s="5">
        <f>IF(G8&gt;0,F8/G8*100,0)</f>
        <v/>
      </c>
      <c r="I8" s="5">
        <f>IF(F8&gt;0,(G8-F8)/F8*100,0)</f>
        <v/>
      </c>
      <c r="J8" s="19">
        <f>COUNTIF(Техкарты!A:A,C8)</f>
        <v/>
      </c>
      <c r="K8" s="6" t="inlineStr"/>
      <c r="L8" s="2" t="inlineStr">
        <is>
          <t>Да</t>
        </is>
      </c>
    </row>
    <row r="9">
      <c r="A9" s="2" t="n">
        <v>8</v>
      </c>
      <c r="B9" s="2" t="inlineStr">
        <is>
          <t>Супы</t>
        </is>
      </c>
      <c r="C9" s="3" t="inlineStr">
        <is>
          <t>Мастова Домашный</t>
        </is>
      </c>
      <c r="D9" s="2" t="inlineStr">
        <is>
          <t>hot_kitchen</t>
        </is>
      </c>
      <c r="E9" s="19">
        <f>SUMIF(Техкарты!A:A,C9,Техкарты!D:D)</f>
        <v/>
      </c>
      <c r="F9" s="20">
        <f>SUMIF(Техкарты!A:A,C9,Техкарты!G:G)</f>
        <v/>
      </c>
      <c r="G9" s="2" t="n">
        <v>14</v>
      </c>
      <c r="H9" s="5">
        <f>IF(G9&gt;0,F9/G9*100,0)</f>
        <v/>
      </c>
      <c r="I9" s="5">
        <f>IF(F9&gt;0,(G9-F9)/F9*100,0)</f>
        <v/>
      </c>
      <c r="J9" s="19">
        <f>COUNTIF(Техкарты!A:A,C9)</f>
        <v/>
      </c>
      <c r="K9" s="6" t="inlineStr"/>
      <c r="L9" s="2" t="inlineStr">
        <is>
          <t>Да</t>
        </is>
      </c>
    </row>
    <row r="10">
      <c r="A10" s="2" t="n">
        <v>9</v>
      </c>
      <c r="B10" s="2" t="inlineStr">
        <is>
          <t>Супы</t>
        </is>
      </c>
      <c r="C10" s="3" t="inlineStr">
        <is>
          <t>Чучвара</t>
        </is>
      </c>
      <c r="D10" s="2" t="inlineStr">
        <is>
          <t>hot_kitchen</t>
        </is>
      </c>
      <c r="E10" s="19">
        <f>SUMIF(Техкарты!A:A,C10,Техкарты!D:D)</f>
        <v/>
      </c>
      <c r="F10" s="20">
        <f>SUMIF(Техкарты!A:A,C10,Техкарты!G:G)</f>
        <v/>
      </c>
      <c r="G10" s="2" t="n">
        <v>18</v>
      </c>
      <c r="H10" s="5">
        <f>IF(G10&gt;0,F10/G10*100,0)</f>
        <v/>
      </c>
      <c r="I10" s="5">
        <f>IF(F10&gt;0,(G10-F10)/F10*100,0)</f>
        <v/>
      </c>
      <c r="J10" s="19">
        <f>COUNTIF(Техкарты!A:A,C10)</f>
        <v/>
      </c>
      <c r="K10" s="6" t="inlineStr"/>
      <c r="L10" s="2" t="inlineStr">
        <is>
          <t>Да</t>
        </is>
      </c>
    </row>
    <row r="11">
      <c r="A11" s="2" t="n">
        <v>10</v>
      </c>
      <c r="B11" s="2" t="inlineStr">
        <is>
          <t>Супы</t>
        </is>
      </c>
      <c r="C11" s="3" t="inlineStr">
        <is>
          <t>Угро</t>
        </is>
      </c>
      <c r="D11" s="2" t="inlineStr">
        <is>
          <t>hot_kitchen</t>
        </is>
      </c>
      <c r="E11" s="19">
        <f>SUMIF(Техкарты!A:A,C11,Техкарты!D:D)</f>
        <v/>
      </c>
      <c r="F11" s="20">
        <f>SUMIF(Техкарты!A:A,C11,Техкарты!G:G)</f>
        <v/>
      </c>
      <c r="G11" s="2" t="n">
        <v>16</v>
      </c>
      <c r="H11" s="5">
        <f>IF(G11&gt;0,F11/G11*100,0)</f>
        <v/>
      </c>
      <c r="I11" s="5">
        <f>IF(F11&gt;0,(G11-F11)/F11*100,0)</f>
        <v/>
      </c>
      <c r="J11" s="19">
        <f>COUNTIF(Техкарты!A:A,C11)</f>
        <v/>
      </c>
      <c r="K11" s="6" t="inlineStr"/>
      <c r="L11" s="2" t="inlineStr">
        <is>
          <t>Да</t>
        </is>
      </c>
    </row>
    <row r="12">
      <c r="A12" s="2" t="n">
        <v>11</v>
      </c>
      <c r="B12" s="2" t="inlineStr">
        <is>
          <t>Супы</t>
        </is>
      </c>
      <c r="C12" s="3" t="inlineStr">
        <is>
          <t>Харчо</t>
        </is>
      </c>
      <c r="D12" s="2" t="inlineStr">
        <is>
          <t>hot_kitchen</t>
        </is>
      </c>
      <c r="E12" s="19">
        <f>SUMIF(Техкарты!A:A,C12,Техкарты!D:D)</f>
        <v/>
      </c>
      <c r="F12" s="20">
        <f>SUMIF(Техкарты!A:A,C12,Техкарты!G:G)</f>
        <v/>
      </c>
      <c r="G12" s="2" t="n">
        <v>18</v>
      </c>
      <c r="H12" s="5">
        <f>IF(G12&gt;0,F12/G12*100,0)</f>
        <v/>
      </c>
      <c r="I12" s="5">
        <f>IF(F12&gt;0,(G12-F12)/F12*100,0)</f>
        <v/>
      </c>
      <c r="J12" s="19">
        <f>COUNTIF(Техкарты!A:A,C12)</f>
        <v/>
      </c>
      <c r="K12" s="6" t="inlineStr"/>
      <c r="L12" s="2" t="inlineStr">
        <is>
          <t>Да</t>
        </is>
      </c>
    </row>
    <row r="13">
      <c r="A13" s="2" t="n">
        <v>12</v>
      </c>
      <c r="B13" s="2" t="inlineStr">
        <is>
          <t>Супы</t>
        </is>
      </c>
      <c r="C13" s="3" t="inlineStr">
        <is>
          <t>Чечивица</t>
        </is>
      </c>
      <c r="D13" s="2" t="inlineStr">
        <is>
          <t>hot_kitchen</t>
        </is>
      </c>
      <c r="E13" s="19">
        <f>SUMIF(Техкарты!A:A,C13,Техкарты!D:D)</f>
        <v/>
      </c>
      <c r="F13" s="20">
        <f>SUMIF(Техкарты!A:A,C13,Техкарты!G:G)</f>
        <v/>
      </c>
      <c r="G13" s="2" t="n">
        <v>12</v>
      </c>
      <c r="H13" s="5">
        <f>IF(G13&gt;0,F13/G13*100,0)</f>
        <v/>
      </c>
      <c r="I13" s="5">
        <f>IF(F13&gt;0,(G13-F13)/F13*100,0)</f>
        <v/>
      </c>
      <c r="J13" s="19">
        <f>COUNTIF(Техкарты!A:A,C13)</f>
        <v/>
      </c>
      <c r="K13" s="6" t="inlineStr"/>
      <c r="L13" s="2" t="inlineStr">
        <is>
          <t>Да</t>
        </is>
      </c>
    </row>
    <row r="14">
      <c r="A14" s="2" t="n">
        <v>13</v>
      </c>
      <c r="B14" s="2" t="inlineStr">
        <is>
          <t>Супы</t>
        </is>
      </c>
      <c r="C14" s="3" t="inlineStr">
        <is>
          <t>Суп Хрущевский</t>
        </is>
      </c>
      <c r="D14" s="2" t="inlineStr">
        <is>
          <t>hot_kitchen</t>
        </is>
      </c>
      <c r="E14" s="19">
        <f>SUMIF(Техкарты!A:A,C14,Техкарты!D:D)</f>
        <v/>
      </c>
      <c r="F14" s="20">
        <f>SUMIF(Техкарты!A:A,C14,Техкарты!G:G)</f>
        <v/>
      </c>
      <c r="G14" s="2" t="n">
        <v>14</v>
      </c>
      <c r="H14" s="5">
        <f>IF(G14&gt;0,F14/G14*100,0)</f>
        <v/>
      </c>
      <c r="I14" s="5">
        <f>IF(F14&gt;0,(G14-F14)/F14*100,0)</f>
        <v/>
      </c>
      <c r="J14" s="19">
        <f>COUNTIF(Техкарты!A:A,C14)</f>
        <v/>
      </c>
      <c r="K14" s="6" t="inlineStr"/>
      <c r="L14" s="2" t="inlineStr">
        <is>
          <t>Да</t>
        </is>
      </c>
    </row>
    <row r="15">
      <c r="A15" s="2" t="n">
        <v>14</v>
      </c>
      <c r="B15" s="2" t="inlineStr">
        <is>
          <t>Супы</t>
        </is>
      </c>
      <c r="C15" s="3" t="inlineStr">
        <is>
          <t>Тефттел Шурбо</t>
        </is>
      </c>
      <c r="D15" s="2" t="inlineStr">
        <is>
          <t>hot_kitchen</t>
        </is>
      </c>
      <c r="E15" s="19">
        <f>SUMIF(Техкарты!A:A,C15,Техкарты!D:D)</f>
        <v/>
      </c>
      <c r="F15" s="20">
        <f>SUMIF(Техкарты!A:A,C15,Техкарты!G:G)</f>
        <v/>
      </c>
      <c r="G15" s="2" t="n">
        <v>25</v>
      </c>
      <c r="H15" s="5">
        <f>IF(G15&gt;0,F15/G15*100,0)</f>
        <v/>
      </c>
      <c r="I15" s="5">
        <f>IF(F15&gt;0,(G15-F15)/F15*100,0)</f>
        <v/>
      </c>
      <c r="J15" s="19">
        <f>COUNTIF(Техкарты!A:A,C15)</f>
        <v/>
      </c>
      <c r="K15" s="6" t="inlineStr"/>
      <c r="L15" s="2" t="inlineStr">
        <is>
          <t>Да</t>
        </is>
      </c>
    </row>
    <row r="16">
      <c r="A16" s="2" t="n">
        <v>15</v>
      </c>
      <c r="B16" s="2" t="inlineStr">
        <is>
          <t>Супы</t>
        </is>
      </c>
      <c r="C16" s="3" t="inlineStr">
        <is>
          <t>Забон Шурбо</t>
        </is>
      </c>
      <c r="D16" s="2" t="inlineStr">
        <is>
          <t>hot_kitchen</t>
        </is>
      </c>
      <c r="E16" s="19">
        <f>SUMIF(Техкарты!A:A,C16,Техкарты!D:D)</f>
        <v/>
      </c>
      <c r="F16" s="20">
        <f>SUMIF(Техкарты!A:A,C16,Техкарты!G:G)</f>
        <v/>
      </c>
      <c r="G16" s="2" t="n">
        <v>23</v>
      </c>
      <c r="H16" s="5">
        <f>IF(G16&gt;0,F16/G16*100,0)</f>
        <v/>
      </c>
      <c r="I16" s="5">
        <f>IF(F16&gt;0,(G16-F16)/F16*100,0)</f>
        <v/>
      </c>
      <c r="J16" s="19">
        <f>COUNTIF(Техкарты!A:A,C16)</f>
        <v/>
      </c>
      <c r="K16" s="6" t="inlineStr"/>
      <c r="L16" s="2" t="inlineStr">
        <is>
          <t>Да</t>
        </is>
      </c>
    </row>
    <row r="17">
      <c r="A17" s="2" t="n">
        <v>16</v>
      </c>
      <c r="B17" s="2" t="inlineStr">
        <is>
          <t>Супы</t>
        </is>
      </c>
      <c r="C17" s="3" t="inlineStr">
        <is>
          <t>Илик Шурбо</t>
        </is>
      </c>
      <c r="D17" s="2" t="inlineStr">
        <is>
          <t>hot_kitchen</t>
        </is>
      </c>
      <c r="E17" s="19">
        <f>SUMIF(Техкарты!A:A,C17,Техкарты!D:D)</f>
        <v/>
      </c>
      <c r="F17" s="20">
        <f>SUMIF(Техкарты!A:A,C17,Техкарты!G:G)</f>
        <v/>
      </c>
      <c r="G17" s="2" t="n">
        <v>62</v>
      </c>
      <c r="H17" s="5">
        <f>IF(G17&gt;0,F17/G17*100,0)</f>
        <v/>
      </c>
      <c r="I17" s="5">
        <f>IF(F17&gt;0,(G17-F17)/F17*100,0)</f>
        <v/>
      </c>
      <c r="J17" s="19">
        <f>COUNTIF(Техкарты!A:A,C17)</f>
        <v/>
      </c>
      <c r="K17" s="6" t="inlineStr"/>
      <c r="L17" s="2" t="inlineStr">
        <is>
          <t>Да</t>
        </is>
      </c>
    </row>
    <row r="18">
      <c r="A18" s="2" t="n">
        <v>17</v>
      </c>
      <c r="B18" s="2" t="inlineStr">
        <is>
          <t>Супы</t>
        </is>
      </c>
      <c r="C18" s="3" t="inlineStr">
        <is>
          <t>Дум Шурбо</t>
        </is>
      </c>
      <c r="D18" s="2" t="inlineStr">
        <is>
          <t>hot_kitchen</t>
        </is>
      </c>
      <c r="E18" s="19">
        <f>SUMIF(Техкарты!A:A,C18,Техкарты!D:D)</f>
        <v/>
      </c>
      <c r="F18" s="20">
        <f>SUMIF(Техкарты!A:A,C18,Техкарты!G:G)</f>
        <v/>
      </c>
      <c r="G18" s="2" t="n">
        <v>42</v>
      </c>
      <c r="H18" s="5">
        <f>IF(G18&gt;0,F18/G18*100,0)</f>
        <v/>
      </c>
      <c r="I18" s="5">
        <f>IF(F18&gt;0,(G18-F18)/F18*100,0)</f>
        <v/>
      </c>
      <c r="J18" s="19">
        <f>COUNTIF(Техкарты!A:A,C18)</f>
        <v/>
      </c>
      <c r="K18" s="6" t="inlineStr"/>
      <c r="L18" s="2" t="inlineStr">
        <is>
          <t>Да</t>
        </is>
      </c>
    </row>
    <row r="19">
      <c r="A19" s="2" t="n">
        <v>18</v>
      </c>
      <c r="B19" s="2" t="inlineStr">
        <is>
          <t>Супы</t>
        </is>
      </c>
      <c r="C19" s="3" t="inlineStr">
        <is>
          <t>Бедона Шурбо</t>
        </is>
      </c>
      <c r="D19" s="2" t="inlineStr">
        <is>
          <t>hot_kitchen</t>
        </is>
      </c>
      <c r="E19" s="19">
        <f>SUMIF(Техкарты!A:A,C19,Техкарты!D:D)</f>
        <v/>
      </c>
      <c r="F19" s="20">
        <f>SUMIF(Техкарты!A:A,C19,Техкарты!G:G)</f>
        <v/>
      </c>
      <c r="G19" s="2" t="n">
        <v>41</v>
      </c>
      <c r="H19" s="5">
        <f>IF(G19&gt;0,F19/G19*100,0)</f>
        <v/>
      </c>
      <c r="I19" s="5">
        <f>IF(F19&gt;0,(G19-F19)/F19*100,0)</f>
        <v/>
      </c>
      <c r="J19" s="19">
        <f>COUNTIF(Техкарты!A:A,C19)</f>
        <v/>
      </c>
      <c r="K19" s="6" t="inlineStr"/>
      <c r="L19" s="2" t="inlineStr">
        <is>
          <t>Да</t>
        </is>
      </c>
    </row>
    <row r="20">
      <c r="A20" s="2" t="n">
        <v>19</v>
      </c>
      <c r="B20" s="2" t="inlineStr">
        <is>
          <t>Супы</t>
        </is>
      </c>
      <c r="C20" s="3" t="inlineStr">
        <is>
          <t>Кавурга Шурбо</t>
        </is>
      </c>
      <c r="D20" s="2" t="inlineStr">
        <is>
          <t>hot_kitchen</t>
        </is>
      </c>
      <c r="E20" s="19">
        <f>SUMIF(Техкарты!A:A,C20,Техкарты!D:D)</f>
        <v/>
      </c>
      <c r="F20" s="20">
        <f>SUMIF(Техкарты!A:A,C20,Техкарты!G:G)</f>
        <v/>
      </c>
      <c r="G20" s="2" t="n">
        <v>47</v>
      </c>
      <c r="H20" s="5">
        <f>IF(G20&gt;0,F20/G20*100,0)</f>
        <v/>
      </c>
      <c r="I20" s="5">
        <f>IF(F20&gt;0,(G20-F20)/F20*100,0)</f>
        <v/>
      </c>
      <c r="J20" s="19">
        <f>COUNTIF(Техкарты!A:A,C20)</f>
        <v/>
      </c>
      <c r="K20" s="6" t="inlineStr"/>
      <c r="L20" s="2" t="inlineStr">
        <is>
          <t>Да</t>
        </is>
      </c>
    </row>
    <row r="21">
      <c r="A21" s="2" t="n">
        <v>20</v>
      </c>
      <c r="B21" s="2" t="inlineStr">
        <is>
          <t>Вторые (готовые)</t>
        </is>
      </c>
      <c r="C21" s="3" t="inlineStr">
        <is>
          <t>Кавурдок</t>
        </is>
      </c>
      <c r="D21" s="2" t="inlineStr">
        <is>
          <t>hot_kitchen</t>
        </is>
      </c>
      <c r="E21" s="19">
        <f>SUMIF(Техкарты!A:A,C21,Техкарты!D:D)</f>
        <v/>
      </c>
      <c r="F21" s="20">
        <f>SUMIF(Техкарты!A:A,C21,Техкарты!G:G)</f>
        <v/>
      </c>
      <c r="G21" s="6" t="inlineStr"/>
      <c r="H21" s="5">
        <f>IF(G21&gt;0,F21/G21*100,0)</f>
        <v/>
      </c>
      <c r="I21" s="5">
        <f>IF(F21&gt;0,(G21-F21)/F21*100,0)</f>
        <v/>
      </c>
      <c r="J21" s="19">
        <f>COUNTIF(Техкарты!A:A,C21)</f>
        <v/>
      </c>
      <c r="K21" s="6" t="inlineStr"/>
      <c r="L21" s="2" t="inlineStr">
        <is>
          <t>Да</t>
        </is>
      </c>
    </row>
    <row r="22">
      <c r="A22" s="2" t="n">
        <v>21</v>
      </c>
      <c r="B22" s="2" t="inlineStr">
        <is>
          <t>Вторые (готовые)</t>
        </is>
      </c>
      <c r="C22" s="3" t="inlineStr">
        <is>
          <t>Жазза</t>
        </is>
      </c>
      <c r="D22" s="2" t="inlineStr">
        <is>
          <t>hot_kitchen</t>
        </is>
      </c>
      <c r="E22" s="19">
        <f>SUMIF(Техкарты!A:A,C22,Техкарты!D:D)</f>
        <v/>
      </c>
      <c r="F22" s="20">
        <f>SUMIF(Техкарты!A:A,C22,Техкарты!G:G)</f>
        <v/>
      </c>
      <c r="G22" s="6" t="inlineStr"/>
      <c r="H22" s="5">
        <f>IF(G22&gt;0,F22/G22*100,0)</f>
        <v/>
      </c>
      <c r="I22" s="5">
        <f>IF(F22&gt;0,(G22-F22)/F22*100,0)</f>
        <v/>
      </c>
      <c r="J22" s="19">
        <f>COUNTIF(Техкарты!A:A,C22)</f>
        <v/>
      </c>
      <c r="K22" s="6" t="inlineStr"/>
      <c r="L22" s="2" t="inlineStr">
        <is>
          <t>Да</t>
        </is>
      </c>
    </row>
    <row r="23">
      <c r="A23" s="2" t="n">
        <v>22</v>
      </c>
      <c r="B23" s="2" t="inlineStr">
        <is>
          <t>Вторые (готовые)</t>
        </is>
      </c>
      <c r="C23" s="3" t="inlineStr">
        <is>
          <t>Ребришки</t>
        </is>
      </c>
      <c r="D23" s="2" t="inlineStr">
        <is>
          <t>hot_kitchen</t>
        </is>
      </c>
      <c r="E23" s="19">
        <f>SUMIF(Техкарты!A:A,C23,Техкарты!D:D)</f>
        <v/>
      </c>
      <c r="F23" s="20">
        <f>SUMIF(Техкарты!A:A,C23,Техкарты!G:G)</f>
        <v/>
      </c>
      <c r="G23" s="6" t="inlineStr"/>
      <c r="H23" s="5">
        <f>IF(G23&gt;0,F23/G23*100,0)</f>
        <v/>
      </c>
      <c r="I23" s="5">
        <f>IF(F23&gt;0,(G23-F23)/F23*100,0)</f>
        <v/>
      </c>
      <c r="J23" s="19">
        <f>COUNTIF(Техкарты!A:A,C23)</f>
        <v/>
      </c>
      <c r="K23" s="6" t="inlineStr"/>
      <c r="L23" s="2" t="inlineStr">
        <is>
          <t>Да</t>
        </is>
      </c>
    </row>
    <row r="24">
      <c r="A24" s="2" t="n">
        <v>23</v>
      </c>
      <c r="B24" s="2" t="inlineStr">
        <is>
          <t>Вторые (готовые)</t>
        </is>
      </c>
      <c r="C24" s="3" t="inlineStr">
        <is>
          <t>Илик Кавур</t>
        </is>
      </c>
      <c r="D24" s="2" t="inlineStr">
        <is>
          <t>hot_kitchen</t>
        </is>
      </c>
      <c r="E24" s="19">
        <f>SUMIF(Техкарты!A:A,C24,Техкарты!D:D)</f>
        <v/>
      </c>
      <c r="F24" s="20">
        <f>SUMIF(Техкарты!A:A,C24,Техкарты!G:G)</f>
        <v/>
      </c>
      <c r="G24" s="6" t="inlineStr"/>
      <c r="H24" s="5">
        <f>IF(G24&gt;0,F24/G24*100,0)</f>
        <v/>
      </c>
      <c r="I24" s="5">
        <f>IF(F24&gt;0,(G24-F24)/F24*100,0)</f>
        <v/>
      </c>
      <c r="J24" s="19">
        <f>COUNTIF(Техкарты!A:A,C24)</f>
        <v/>
      </c>
      <c r="K24" s="6" t="inlineStr"/>
      <c r="L24" s="2" t="inlineStr">
        <is>
          <t>Да</t>
        </is>
      </c>
    </row>
    <row r="25">
      <c r="A25" s="2" t="n">
        <v>24</v>
      </c>
      <c r="B25" s="2" t="inlineStr">
        <is>
          <t>Вторые (готовые)</t>
        </is>
      </c>
      <c r="C25" s="3" t="inlineStr">
        <is>
          <t>Дум Кавур</t>
        </is>
      </c>
      <c r="D25" s="2" t="inlineStr">
        <is>
          <t>hot_kitchen</t>
        </is>
      </c>
      <c r="E25" s="19">
        <f>SUMIF(Техкарты!A:A,C25,Техкарты!D:D)</f>
        <v/>
      </c>
      <c r="F25" s="20">
        <f>SUMIF(Техкарты!A:A,C25,Техкарты!G:G)</f>
        <v/>
      </c>
      <c r="G25" s="6" t="inlineStr"/>
      <c r="H25" s="5">
        <f>IF(G25&gt;0,F25/G25*100,0)</f>
        <v/>
      </c>
      <c r="I25" s="5">
        <f>IF(F25&gt;0,(G25-F25)/F25*100,0)</f>
        <v/>
      </c>
      <c r="J25" s="19">
        <f>COUNTIF(Техкарты!A:A,C25)</f>
        <v/>
      </c>
      <c r="K25" s="6" t="inlineStr"/>
      <c r="L25" s="2" t="inlineStr">
        <is>
          <t>Да</t>
        </is>
      </c>
    </row>
    <row r="26">
      <c r="A26" s="2" t="n">
        <v>25</v>
      </c>
      <c r="B26" s="2" t="inlineStr">
        <is>
          <t>Вторые (готовые)</t>
        </is>
      </c>
      <c r="C26" s="3" t="inlineStr">
        <is>
          <t>Буйин Куй</t>
        </is>
      </c>
      <c r="D26" s="2" t="inlineStr">
        <is>
          <t>hot_kitchen</t>
        </is>
      </c>
      <c r="E26" s="19">
        <f>SUMIF(Техкарты!A:A,C26,Техкарты!D:D)</f>
        <v/>
      </c>
      <c r="F26" s="20">
        <f>SUMIF(Техкарты!A:A,C26,Техкарты!G:G)</f>
        <v/>
      </c>
      <c r="G26" s="6" t="inlineStr"/>
      <c r="H26" s="5">
        <f>IF(G26&gt;0,F26/G26*100,0)</f>
        <v/>
      </c>
      <c r="I26" s="5">
        <f>IF(F26&gt;0,(G26-F26)/F26*100,0)</f>
        <v/>
      </c>
      <c r="J26" s="19">
        <f>COUNTIF(Техкарты!A:A,C26)</f>
        <v/>
      </c>
      <c r="K26" s="6" t="inlineStr"/>
      <c r="L26" s="2" t="inlineStr">
        <is>
          <t>Да</t>
        </is>
      </c>
    </row>
    <row r="27">
      <c r="A27" s="2" t="n">
        <v>26</v>
      </c>
      <c r="B27" s="2" t="inlineStr">
        <is>
          <t>Вторые (готовые)</t>
        </is>
      </c>
      <c r="C27" s="3" t="inlineStr">
        <is>
          <t>Бедона Кавур</t>
        </is>
      </c>
      <c r="D27" s="2" t="inlineStr">
        <is>
          <t>hot_kitchen</t>
        </is>
      </c>
      <c r="E27" s="19">
        <f>SUMIF(Техкарты!A:A,C27,Техкарты!D:D)</f>
        <v/>
      </c>
      <c r="F27" s="20">
        <f>SUMIF(Техкарты!A:A,C27,Техкарты!G:G)</f>
        <v/>
      </c>
      <c r="G27" s="6" t="inlineStr"/>
      <c r="H27" s="5">
        <f>IF(G27&gt;0,F27/G27*100,0)</f>
        <v/>
      </c>
      <c r="I27" s="5">
        <f>IF(F27&gt;0,(G27-F27)/F27*100,0)</f>
        <v/>
      </c>
      <c r="J27" s="19">
        <f>COUNTIF(Техкарты!A:A,C27)</f>
        <v/>
      </c>
      <c r="K27" s="6" t="inlineStr"/>
      <c r="L27" s="2" t="inlineStr">
        <is>
          <t>Да</t>
        </is>
      </c>
    </row>
    <row r="28">
      <c r="A28" s="2" t="n">
        <v>27</v>
      </c>
      <c r="B28" s="2" t="inlineStr">
        <is>
          <t>Вторые (готовые)</t>
        </is>
      </c>
      <c r="C28" s="3" t="inlineStr">
        <is>
          <t>Казон Кавурдок</t>
        </is>
      </c>
      <c r="D28" s="2" t="inlineStr">
        <is>
          <t>hot_kitchen</t>
        </is>
      </c>
      <c r="E28" s="19">
        <f>SUMIF(Техкарты!A:A,C28,Техкарты!D:D)</f>
        <v/>
      </c>
      <c r="F28" s="20">
        <f>SUMIF(Техкарты!A:A,C28,Техкарты!G:G)</f>
        <v/>
      </c>
      <c r="G28" s="6" t="inlineStr"/>
      <c r="H28" s="5">
        <f>IF(G28&gt;0,F28/G28*100,0)</f>
        <v/>
      </c>
      <c r="I28" s="5">
        <f>IF(F28&gt;0,(G28-F28)/F28*100,0)</f>
        <v/>
      </c>
      <c r="J28" s="19">
        <f>COUNTIF(Техкарты!A:A,C28)</f>
        <v/>
      </c>
      <c r="K28" s="6" t="inlineStr"/>
      <c r="L28" s="2" t="inlineStr">
        <is>
          <t>Да</t>
        </is>
      </c>
    </row>
    <row r="29">
      <c r="A29" s="2" t="n">
        <v>28</v>
      </c>
      <c r="B29" s="2" t="inlineStr">
        <is>
          <t>Вторые (готовые)</t>
        </is>
      </c>
      <c r="C29" s="3" t="inlineStr">
        <is>
          <t>Казон Кабо Баранина</t>
        </is>
      </c>
      <c r="D29" s="2" t="inlineStr">
        <is>
          <t>hot_kitchen</t>
        </is>
      </c>
      <c r="E29" s="19">
        <f>SUMIF(Техкарты!A:A,C29,Техкарты!D:D)</f>
        <v/>
      </c>
      <c r="F29" s="20">
        <f>SUMIF(Техкарты!A:A,C29,Техкарты!G:G)</f>
        <v/>
      </c>
      <c r="G29" s="6" t="inlineStr"/>
      <c r="H29" s="5">
        <f>IF(G29&gt;0,F29/G29*100,0)</f>
        <v/>
      </c>
      <c r="I29" s="5">
        <f>IF(F29&gt;0,(G29-F29)/F29*100,0)</f>
        <v/>
      </c>
      <c r="J29" s="19">
        <f>COUNTIF(Техкарты!A:A,C29)</f>
        <v/>
      </c>
      <c r="K29" s="6" t="inlineStr"/>
      <c r="L29" s="2" t="inlineStr">
        <is>
          <t>Да</t>
        </is>
      </c>
    </row>
    <row r="30">
      <c r="A30" s="2" t="n">
        <v>29</v>
      </c>
      <c r="B30" s="2" t="inlineStr">
        <is>
          <t>Вторые (готовые)</t>
        </is>
      </c>
      <c r="C30" s="3" t="inlineStr">
        <is>
          <t>Котлет Сыром</t>
        </is>
      </c>
      <c r="D30" s="2" t="inlineStr">
        <is>
          <t>hot_kitchen</t>
        </is>
      </c>
      <c r="E30" s="19">
        <f>SUMIF(Техкарты!A:A,C30,Техкарты!D:D)</f>
        <v/>
      </c>
      <c r="F30" s="20">
        <f>SUMIF(Техкарты!A:A,C30,Техкарты!G:G)</f>
        <v/>
      </c>
      <c r="G30" s="6" t="inlineStr"/>
      <c r="H30" s="5">
        <f>IF(G30&gt;0,F30/G30*100,0)</f>
        <v/>
      </c>
      <c r="I30" s="5">
        <f>IF(F30&gt;0,(G30-F30)/F30*100,0)</f>
        <v/>
      </c>
      <c r="J30" s="19">
        <f>COUNTIF(Техкарты!A:A,C30)</f>
        <v/>
      </c>
      <c r="K30" s="6" t="inlineStr"/>
      <c r="L30" s="2" t="inlineStr">
        <is>
          <t>Да</t>
        </is>
      </c>
    </row>
    <row r="31">
      <c r="A31" s="2" t="n">
        <v>30</v>
      </c>
      <c r="B31" s="2" t="inlineStr">
        <is>
          <t>Вторые (готовые)</t>
        </is>
      </c>
      <c r="C31" s="3" t="inlineStr">
        <is>
          <t>Плов Ташкентский</t>
        </is>
      </c>
      <c r="D31" s="2" t="inlineStr">
        <is>
          <t>hot_kitchen</t>
        </is>
      </c>
      <c r="E31" s="19">
        <f>SUMIF(Техкарты!A:A,C31,Техкарты!D:D)</f>
        <v/>
      </c>
      <c r="F31" s="20">
        <f>SUMIF(Техкарты!A:A,C31,Техкарты!G:G)</f>
        <v/>
      </c>
      <c r="G31" s="6" t="inlineStr"/>
      <c r="H31" s="5">
        <f>IF(G31&gt;0,F31/G31*100,0)</f>
        <v/>
      </c>
      <c r="I31" s="5">
        <f>IF(F31&gt;0,(G31-F31)/F31*100,0)</f>
        <v/>
      </c>
      <c r="J31" s="19">
        <f>COUNTIF(Техкарты!A:A,C31)</f>
        <v/>
      </c>
      <c r="K31" s="6" t="inlineStr"/>
      <c r="L31" s="2" t="inlineStr">
        <is>
          <t>Да</t>
        </is>
      </c>
    </row>
    <row r="32">
      <c r="A32" s="2" t="n">
        <v>31</v>
      </c>
      <c r="B32" s="2" t="inlineStr">
        <is>
          <t>Вторые (готовые)</t>
        </is>
      </c>
      <c r="C32" s="3" t="inlineStr">
        <is>
          <t>Тбака</t>
        </is>
      </c>
      <c r="D32" s="2" t="inlineStr">
        <is>
          <t>hot_kitchen</t>
        </is>
      </c>
      <c r="E32" s="19">
        <f>SUMIF(Техкарты!A:A,C32,Техкарты!D:D)</f>
        <v/>
      </c>
      <c r="F32" s="20">
        <f>SUMIF(Техкарты!A:A,C32,Техкарты!G:G)</f>
        <v/>
      </c>
      <c r="G32" s="6" t="inlineStr"/>
      <c r="H32" s="5">
        <f>IF(G32&gt;0,F32/G32*100,0)</f>
        <v/>
      </c>
      <c r="I32" s="5">
        <f>IF(F32&gt;0,(G32-F32)/F32*100,0)</f>
        <v/>
      </c>
      <c r="J32" s="19">
        <f>COUNTIF(Техкарты!A:A,C32)</f>
        <v/>
      </c>
      <c r="K32" s="6" t="inlineStr"/>
      <c r="L32" s="2" t="inlineStr">
        <is>
          <t>Да</t>
        </is>
      </c>
    </row>
    <row r="33">
      <c r="A33" s="2" t="n">
        <v>32</v>
      </c>
      <c r="B33" s="2" t="inlineStr">
        <is>
          <t>Гарниры</t>
        </is>
      </c>
      <c r="C33" s="3" t="inlineStr">
        <is>
          <t>Наим</t>
        </is>
      </c>
      <c r="D33" s="2" t="inlineStr">
        <is>
          <t>hot_kitchen</t>
        </is>
      </c>
      <c r="E33" s="19">
        <f>SUMIF(Техкарты!A:A,C33,Техкарты!D:D)</f>
        <v/>
      </c>
      <c r="F33" s="20">
        <f>SUMIF(Техкарты!A:A,C33,Техкарты!G:G)</f>
        <v/>
      </c>
      <c r="G33" s="6" t="inlineStr"/>
      <c r="H33" s="5">
        <f>IF(G33&gt;0,F33/G33*100,0)</f>
        <v/>
      </c>
      <c r="I33" s="5">
        <f>IF(F33&gt;0,(G33-F33)/F33*100,0)</f>
        <v/>
      </c>
      <c r="J33" s="19">
        <f>COUNTIF(Техкарты!A:A,C33)</f>
        <v/>
      </c>
      <c r="K33" s="6" t="inlineStr"/>
      <c r="L33" s="2" t="inlineStr">
        <is>
          <t>Да</t>
        </is>
      </c>
    </row>
    <row r="34">
      <c r="A34" s="2" t="n">
        <v>33</v>
      </c>
      <c r="B34" s="2" t="inlineStr">
        <is>
          <t>Гарниры</t>
        </is>
      </c>
      <c r="C34" s="3" t="inlineStr">
        <is>
          <t>Масса Порция</t>
        </is>
      </c>
      <c r="D34" s="2" t="inlineStr">
        <is>
          <t>hot_kitchen</t>
        </is>
      </c>
      <c r="E34" s="19">
        <f>SUMIF(Техкарты!A:A,C34,Техкарты!D:D)</f>
        <v/>
      </c>
      <c r="F34" s="20">
        <f>SUMIF(Техкарты!A:A,C34,Техкарты!G:G)</f>
        <v/>
      </c>
      <c r="G34" s="6" t="inlineStr"/>
      <c r="H34" s="5">
        <f>IF(G34&gt;0,F34/G34*100,0)</f>
        <v/>
      </c>
      <c r="I34" s="5">
        <f>IF(F34&gt;0,(G34-F34)/F34*100,0)</f>
        <v/>
      </c>
      <c r="J34" s="19">
        <f>COUNTIF(Техкарты!A:A,C34)</f>
        <v/>
      </c>
      <c r="K34" s="6" t="inlineStr"/>
      <c r="L34" s="2" t="inlineStr">
        <is>
          <t>Да</t>
        </is>
      </c>
    </row>
    <row r="35">
      <c r="A35" s="2" t="n">
        <v>34</v>
      </c>
      <c r="B35" s="2" t="inlineStr">
        <is>
          <t>Гарниры</t>
        </is>
      </c>
      <c r="C35" s="3" t="inlineStr">
        <is>
          <t>Масса *Кг</t>
        </is>
      </c>
      <c r="D35" s="2" t="inlineStr">
        <is>
          <t>hot_kitchen</t>
        </is>
      </c>
      <c r="E35" s="19">
        <f>SUMIF(Техкарты!A:A,C35,Техкарты!D:D)</f>
        <v/>
      </c>
      <c r="F35" s="20">
        <f>SUMIF(Техкарты!A:A,C35,Техкарты!G:G)</f>
        <v/>
      </c>
      <c r="G35" s="2" t="n">
        <v>6</v>
      </c>
      <c r="H35" s="5">
        <f>IF(G35&gt;0,F35/G35*100,0)</f>
        <v/>
      </c>
      <c r="I35" s="5">
        <f>IF(F35&gt;0,(G35-F35)/F35*100,0)</f>
        <v/>
      </c>
      <c r="J35" s="19">
        <f>COUNTIF(Техкарты!A:A,C35)</f>
        <v/>
      </c>
      <c r="K35" s="6" t="inlineStr"/>
      <c r="L35" s="2" t="inlineStr">
        <is>
          <t>Да</t>
        </is>
      </c>
    </row>
    <row r="36">
      <c r="A36" s="2" t="n">
        <v>35</v>
      </c>
      <c r="B36" s="2" t="inlineStr">
        <is>
          <t>Гарниры</t>
        </is>
      </c>
      <c r="C36" s="3" t="inlineStr">
        <is>
          <t>Масса*Вых</t>
        </is>
      </c>
      <c r="D36" s="2" t="inlineStr">
        <is>
          <t>hot_kitchen</t>
        </is>
      </c>
      <c r="E36" s="19">
        <f>SUMIF(Техкарты!A:A,C36,Техкарты!D:D)</f>
        <v/>
      </c>
      <c r="F36" s="20">
        <f>SUMIF(Техкарты!A:A,C36,Техкарты!G:G)</f>
        <v/>
      </c>
      <c r="G36" s="6" t="inlineStr"/>
      <c r="H36" s="5">
        <f>IF(G36&gt;0,F36/G36*100,0)</f>
        <v/>
      </c>
      <c r="I36" s="5">
        <f>IF(F36&gt;0,(G36-F36)/F36*100,0)</f>
        <v/>
      </c>
      <c r="J36" s="19">
        <f>COUNTIF(Техкарты!A:A,C36)</f>
        <v/>
      </c>
      <c r="K36" s="6" t="inlineStr"/>
      <c r="L36" s="2" t="inlineStr">
        <is>
          <t>Да</t>
        </is>
      </c>
    </row>
    <row r="37">
      <c r="A37" s="2" t="n">
        <v>36</v>
      </c>
      <c r="B37" s="2" t="inlineStr">
        <is>
          <t>Завтраки</t>
        </is>
      </c>
      <c r="C37" s="3" t="inlineStr">
        <is>
          <t>Кулча</t>
        </is>
      </c>
      <c r="D37" s="2" t="inlineStr">
        <is>
          <t>hot_kitchen</t>
        </is>
      </c>
      <c r="E37" s="19">
        <f>SUMIF(Техкарты!A:A,C37,Техкарты!D:D)</f>
        <v/>
      </c>
      <c r="F37" s="20">
        <f>SUMIF(Техкарты!A:A,C37,Техкарты!G:G)</f>
        <v/>
      </c>
      <c r="G37" s="6" t="inlineStr"/>
      <c r="H37" s="5">
        <f>IF(G37&gt;0,F37/G37*100,0)</f>
        <v/>
      </c>
      <c r="I37" s="5">
        <f>IF(F37&gt;0,(G37-F37)/F37*100,0)</f>
        <v/>
      </c>
      <c r="J37" s="19">
        <f>COUNTIF(Техкарты!A:A,C37)</f>
        <v/>
      </c>
      <c r="K37" s="6" t="inlineStr"/>
      <c r="L37" s="2" t="inlineStr">
        <is>
          <t>Да</t>
        </is>
      </c>
    </row>
    <row r="38">
      <c r="A38" s="2" t="n">
        <v>37</v>
      </c>
      <c r="B38" s="2" t="inlineStr">
        <is>
          <t>Завтраки</t>
        </is>
      </c>
      <c r="C38" s="3" t="inlineStr">
        <is>
          <t>Блинчик</t>
        </is>
      </c>
      <c r="D38" s="2" t="inlineStr">
        <is>
          <t>hot_kitchen</t>
        </is>
      </c>
      <c r="E38" s="19">
        <f>SUMIF(Техкарты!A:A,C38,Техкарты!D:D)</f>
        <v/>
      </c>
      <c r="F38" s="20">
        <f>SUMIF(Техкарты!A:A,C38,Техкарты!G:G)</f>
        <v/>
      </c>
      <c r="G38" s="6" t="inlineStr"/>
      <c r="H38" s="5">
        <f>IF(G38&gt;0,F38/G38*100,0)</f>
        <v/>
      </c>
      <c r="I38" s="5">
        <f>IF(F38&gt;0,(G38-F38)/F38*100,0)</f>
        <v/>
      </c>
      <c r="J38" s="19">
        <f>COUNTIF(Техкарты!A:A,C38)</f>
        <v/>
      </c>
      <c r="K38" s="6" t="inlineStr"/>
      <c r="L38" s="2" t="inlineStr">
        <is>
          <t>Да</t>
        </is>
      </c>
    </row>
    <row r="39">
      <c r="A39" s="2" t="n">
        <v>38</v>
      </c>
      <c r="B39" s="2" t="inlineStr">
        <is>
          <t>Завтраки</t>
        </is>
      </c>
      <c r="C39" s="3" t="inlineStr">
        <is>
          <t>Блинчик С Творогом</t>
        </is>
      </c>
      <c r="D39" s="2" t="inlineStr">
        <is>
          <t>hot_kitchen</t>
        </is>
      </c>
      <c r="E39" s="19">
        <f>SUMIF(Техкарты!A:A,C39,Техкарты!D:D)</f>
        <v/>
      </c>
      <c r="F39" s="20">
        <f>SUMIF(Техкарты!A:A,C39,Техкарты!G:G)</f>
        <v/>
      </c>
      <c r="G39" s="6" t="inlineStr"/>
      <c r="H39" s="5">
        <f>IF(G39&gt;0,F39/G39*100,0)</f>
        <v/>
      </c>
      <c r="I39" s="5">
        <f>IF(F39&gt;0,(G39-F39)/F39*100,0)</f>
        <v/>
      </c>
      <c r="J39" s="19">
        <f>COUNTIF(Техкарты!A:A,C39)</f>
        <v/>
      </c>
      <c r="K39" s="6" t="inlineStr"/>
      <c r="L39" s="2" t="inlineStr">
        <is>
          <t>Да</t>
        </is>
      </c>
    </row>
    <row r="40">
      <c r="A40" s="2" t="n">
        <v>39</v>
      </c>
      <c r="B40" s="2" t="inlineStr">
        <is>
          <t>Завтраки</t>
        </is>
      </c>
      <c r="C40" s="3" t="inlineStr">
        <is>
          <t>Блинчик С Медом</t>
        </is>
      </c>
      <c r="D40" s="2" t="inlineStr">
        <is>
          <t>hot_kitchen</t>
        </is>
      </c>
      <c r="E40" s="19">
        <f>SUMIF(Техкарты!A:A,C40,Техкарты!D:D)</f>
        <v/>
      </c>
      <c r="F40" s="20">
        <f>SUMIF(Техкарты!A:A,C40,Техкарты!G:G)</f>
        <v/>
      </c>
      <c r="G40" s="6" t="inlineStr"/>
      <c r="H40" s="5">
        <f>IF(G40&gt;0,F40/G40*100,0)</f>
        <v/>
      </c>
      <c r="I40" s="5">
        <f>IF(F40&gt;0,(G40-F40)/F40*100,0)</f>
        <v/>
      </c>
      <c r="J40" s="19">
        <f>COUNTIF(Техкарты!A:A,C40)</f>
        <v/>
      </c>
      <c r="K40" s="6" t="inlineStr"/>
      <c r="L40" s="2" t="inlineStr">
        <is>
          <t>Да</t>
        </is>
      </c>
    </row>
    <row r="41">
      <c r="A41" s="2" t="n">
        <v>40</v>
      </c>
      <c r="B41" s="2" t="inlineStr">
        <is>
          <t>Завтраки</t>
        </is>
      </c>
      <c r="C41" s="3" t="inlineStr">
        <is>
          <t>Блинчик С Мясом</t>
        </is>
      </c>
      <c r="D41" s="2" t="inlineStr">
        <is>
          <t>hot_kitchen</t>
        </is>
      </c>
      <c r="E41" s="19">
        <f>SUMIF(Техкарты!A:A,C41,Техкарты!D:D)</f>
        <v/>
      </c>
      <c r="F41" s="20">
        <f>SUMIF(Техкарты!A:A,C41,Техкарты!G:G)</f>
        <v/>
      </c>
      <c r="G41" s="6" t="inlineStr"/>
      <c r="H41" s="5">
        <f>IF(G41&gt;0,F41/G41*100,0)</f>
        <v/>
      </c>
      <c r="I41" s="5">
        <f>IF(F41&gt;0,(G41-F41)/F41*100,0)</f>
        <v/>
      </c>
      <c r="J41" s="19">
        <f>COUNTIF(Техкарты!A:A,C41)</f>
        <v/>
      </c>
      <c r="K41" s="6" t="inlineStr"/>
      <c r="L41" s="2" t="inlineStr">
        <is>
          <t>Да</t>
        </is>
      </c>
    </row>
    <row r="42">
      <c r="A42" s="2" t="n">
        <v>41</v>
      </c>
      <c r="B42" s="2" t="inlineStr">
        <is>
          <t>Завтраки</t>
        </is>
      </c>
      <c r="C42" s="3" t="inlineStr">
        <is>
          <t>Каша Манная</t>
        </is>
      </c>
      <c r="D42" s="2" t="inlineStr">
        <is>
          <t>hot_kitchen</t>
        </is>
      </c>
      <c r="E42" s="19">
        <f>SUMIF(Техкарты!A:A,C42,Техкарты!D:D)</f>
        <v/>
      </c>
      <c r="F42" s="20">
        <f>SUMIF(Техкарты!A:A,C42,Техкарты!G:G)</f>
        <v/>
      </c>
      <c r="G42" s="6" t="inlineStr"/>
      <c r="H42" s="5">
        <f>IF(G42&gt;0,F42/G42*100,0)</f>
        <v/>
      </c>
      <c r="I42" s="5">
        <f>IF(F42&gt;0,(G42-F42)/F42*100,0)</f>
        <v/>
      </c>
      <c r="J42" s="19">
        <f>COUNTIF(Техкарты!A:A,C42)</f>
        <v/>
      </c>
      <c r="K42" s="6" t="inlineStr"/>
      <c r="L42" s="2" t="inlineStr">
        <is>
          <t>Да</t>
        </is>
      </c>
    </row>
    <row r="43">
      <c r="A43" s="2" t="n">
        <v>42</v>
      </c>
      <c r="B43" s="2" t="inlineStr">
        <is>
          <t>Завтраки</t>
        </is>
      </c>
      <c r="C43" s="3" t="inlineStr">
        <is>
          <t>Каша Рисовый</t>
        </is>
      </c>
      <c r="D43" s="2" t="inlineStr">
        <is>
          <t>hot_kitchen</t>
        </is>
      </c>
      <c r="E43" s="19">
        <f>SUMIF(Техкарты!A:A,C43,Техкарты!D:D)</f>
        <v/>
      </c>
      <c r="F43" s="20">
        <f>SUMIF(Техкарты!A:A,C43,Техкарты!G:G)</f>
        <v/>
      </c>
      <c r="G43" s="6" t="inlineStr"/>
      <c r="H43" s="5">
        <f>IF(G43&gt;0,F43/G43*100,0)</f>
        <v/>
      </c>
      <c r="I43" s="5">
        <f>IF(F43&gt;0,(G43-F43)/F43*100,0)</f>
        <v/>
      </c>
      <c r="J43" s="19">
        <f>COUNTIF(Техкарты!A:A,C43)</f>
        <v/>
      </c>
      <c r="K43" s="6" t="inlineStr"/>
      <c r="L43" s="2" t="inlineStr">
        <is>
          <t>Да</t>
        </is>
      </c>
    </row>
    <row r="44">
      <c r="A44" s="2" t="n">
        <v>43</v>
      </c>
      <c r="B44" s="2" t="inlineStr">
        <is>
          <t>Завтраки</t>
        </is>
      </c>
      <c r="C44" s="3" t="inlineStr">
        <is>
          <t>Каша Овсенная</t>
        </is>
      </c>
      <c r="D44" s="2" t="inlineStr">
        <is>
          <t>hot_kitchen</t>
        </is>
      </c>
      <c r="E44" s="19">
        <f>SUMIF(Техкарты!A:A,C44,Техкарты!D:D)</f>
        <v/>
      </c>
      <c r="F44" s="20">
        <f>SUMIF(Техкарты!A:A,C44,Техкарты!G:G)</f>
        <v/>
      </c>
      <c r="G44" s="6" t="inlineStr"/>
      <c r="H44" s="5">
        <f>IF(G44&gt;0,F44/G44*100,0)</f>
        <v/>
      </c>
      <c r="I44" s="5">
        <f>IF(F44&gt;0,(G44-F44)/F44*100,0)</f>
        <v/>
      </c>
      <c r="J44" s="19">
        <f>COUNTIF(Техкарты!A:A,C44)</f>
        <v/>
      </c>
      <c r="K44" s="6" t="inlineStr"/>
      <c r="L44" s="2" t="inlineStr">
        <is>
          <t>Да</t>
        </is>
      </c>
    </row>
    <row r="45">
      <c r="A45" s="2" t="n">
        <v>44</v>
      </c>
      <c r="B45" s="2" t="inlineStr">
        <is>
          <t>Завтраки</t>
        </is>
      </c>
      <c r="C45" s="3" t="inlineStr">
        <is>
          <t>Каймок Творог</t>
        </is>
      </c>
      <c r="D45" s="2" t="inlineStr">
        <is>
          <t>hot_kitchen</t>
        </is>
      </c>
      <c r="E45" s="19">
        <f>SUMIF(Техкарты!A:A,C45,Техкарты!D:D)</f>
        <v/>
      </c>
      <c r="F45" s="20">
        <f>SUMIF(Техкарты!A:A,C45,Техкарты!G:G)</f>
        <v/>
      </c>
      <c r="G45" s="6" t="inlineStr"/>
      <c r="H45" s="5">
        <f>IF(G45&gt;0,F45/G45*100,0)</f>
        <v/>
      </c>
      <c r="I45" s="5">
        <f>IF(F45&gt;0,(G45-F45)/F45*100,0)</f>
        <v/>
      </c>
      <c r="J45" s="19">
        <f>COUNTIF(Техкарты!A:A,C45)</f>
        <v/>
      </c>
      <c r="K45" s="6" t="inlineStr"/>
      <c r="L45" s="2" t="inlineStr">
        <is>
          <t>Да</t>
        </is>
      </c>
    </row>
    <row r="46">
      <c r="A46" s="2" t="n">
        <v>45</v>
      </c>
      <c r="B46" s="2" t="inlineStr">
        <is>
          <t>Завтраки</t>
        </is>
      </c>
      <c r="C46" s="3" t="inlineStr">
        <is>
          <t>Турецкий Завтрак</t>
        </is>
      </c>
      <c r="D46" s="2" t="inlineStr">
        <is>
          <t>hot_kitchen</t>
        </is>
      </c>
      <c r="E46" s="19">
        <f>SUMIF(Техкарты!A:A,C46,Техкарты!D:D)</f>
        <v/>
      </c>
      <c r="F46" s="20">
        <f>SUMIF(Техкарты!A:A,C46,Техкарты!G:G)</f>
        <v/>
      </c>
      <c r="G46" s="6" t="inlineStr"/>
      <c r="H46" s="5">
        <f>IF(G46&gt;0,F46/G46*100,0)</f>
        <v/>
      </c>
      <c r="I46" s="5">
        <f>IF(F46&gt;0,(G46-F46)/F46*100,0)</f>
        <v/>
      </c>
      <c r="J46" s="19">
        <f>COUNTIF(Техкарты!A:A,C46)</f>
        <v/>
      </c>
      <c r="K46" s="6" t="inlineStr"/>
      <c r="L46" s="2" t="inlineStr">
        <is>
          <t>Да</t>
        </is>
      </c>
    </row>
    <row r="47">
      <c r="A47" s="2" t="n">
        <v>46</v>
      </c>
      <c r="B47" s="2" t="inlineStr">
        <is>
          <t>Завтраки</t>
        </is>
      </c>
      <c r="C47" s="3" t="inlineStr">
        <is>
          <t>Омлет Франсузкий</t>
        </is>
      </c>
      <c r="D47" s="2" t="inlineStr">
        <is>
          <t>hot_kitchen</t>
        </is>
      </c>
      <c r="E47" s="19">
        <f>SUMIF(Техкарты!A:A,C47,Техкарты!D:D)</f>
        <v/>
      </c>
      <c r="F47" s="20">
        <f>SUMIF(Техкарты!A:A,C47,Техкарты!G:G)</f>
        <v/>
      </c>
      <c r="G47" s="6" t="inlineStr"/>
      <c r="H47" s="5">
        <f>IF(G47&gt;0,F47/G47*100,0)</f>
        <v/>
      </c>
      <c r="I47" s="5">
        <f>IF(F47&gt;0,(G47-F47)/F47*100,0)</f>
        <v/>
      </c>
      <c r="J47" s="19">
        <f>COUNTIF(Техкарты!A:A,C47)</f>
        <v/>
      </c>
      <c r="K47" s="6" t="inlineStr"/>
      <c r="L47" s="2" t="inlineStr">
        <is>
          <t>Да</t>
        </is>
      </c>
    </row>
    <row r="48">
      <c r="A48" s="2" t="n">
        <v>47</v>
      </c>
      <c r="B48" s="2" t="inlineStr">
        <is>
          <t>Завтраки</t>
        </is>
      </c>
      <c r="C48" s="3" t="inlineStr">
        <is>
          <t>Омлет Классик</t>
        </is>
      </c>
      <c r="D48" s="2" t="inlineStr">
        <is>
          <t>hot_kitchen</t>
        </is>
      </c>
      <c r="E48" s="19">
        <f>SUMIF(Техкарты!A:A,C48,Техкарты!D:D)</f>
        <v/>
      </c>
      <c r="F48" s="20">
        <f>SUMIF(Техкарты!A:A,C48,Техкарты!G:G)</f>
        <v/>
      </c>
      <c r="G48" s="6" t="inlineStr"/>
      <c r="H48" s="5">
        <f>IF(G48&gt;0,F48/G48*100,0)</f>
        <v/>
      </c>
      <c r="I48" s="5">
        <f>IF(F48&gt;0,(G48-F48)/F48*100,0)</f>
        <v/>
      </c>
      <c r="J48" s="19">
        <f>COUNTIF(Техкарты!A:A,C48)</f>
        <v/>
      </c>
      <c r="K48" s="6" t="inlineStr"/>
      <c r="L48" s="2" t="inlineStr">
        <is>
          <t>Да</t>
        </is>
      </c>
    </row>
    <row r="49">
      <c r="A49" s="2" t="n">
        <v>48</v>
      </c>
      <c r="B49" s="2" t="inlineStr">
        <is>
          <t>Полуфабрикаты мясные</t>
        </is>
      </c>
      <c r="C49" s="3" t="inlineStr">
        <is>
          <t>Фарш Гов</t>
        </is>
      </c>
      <c r="D49" s="2" t="inlineStr">
        <is>
          <t>grill</t>
        </is>
      </c>
      <c r="E49" s="19">
        <f>SUMIF(Техкарты!A:A,C49,Техкарты!D:D)</f>
        <v/>
      </c>
      <c r="F49" s="20">
        <f>SUMIF(Техкарты!A:A,C49,Техкарты!G:G)</f>
        <v/>
      </c>
      <c r="G49" s="6" t="inlineStr"/>
      <c r="H49" s="5">
        <f>IF(G49&gt;0,F49/G49*100,0)</f>
        <v/>
      </c>
      <c r="I49" s="5">
        <f>IF(F49&gt;0,(G49-F49)/F49*100,0)</f>
        <v/>
      </c>
      <c r="J49" s="19">
        <f>COUNTIF(Техкарты!A:A,C49)</f>
        <v/>
      </c>
      <c r="K49" s="6" t="inlineStr"/>
      <c r="L49" s="2" t="inlineStr">
        <is>
          <t>Да</t>
        </is>
      </c>
    </row>
    <row r="50">
      <c r="A50" s="2" t="n">
        <v>49</v>
      </c>
      <c r="B50" s="2" t="inlineStr">
        <is>
          <t>Полуфабрикаты мясные</t>
        </is>
      </c>
      <c r="C50" s="3" t="inlineStr">
        <is>
          <t>Тефтел</t>
        </is>
      </c>
      <c r="D50" s="2" t="inlineStr">
        <is>
          <t>grill</t>
        </is>
      </c>
      <c r="E50" s="19">
        <f>SUMIF(Техкарты!A:A,C50,Техкарты!D:D)</f>
        <v/>
      </c>
      <c r="F50" s="20">
        <f>SUMIF(Техкарты!A:A,C50,Техкарты!G:G)</f>
        <v/>
      </c>
      <c r="G50" s="6" t="inlineStr"/>
      <c r="H50" s="5">
        <f>IF(G50&gt;0,F50/G50*100,0)</f>
        <v/>
      </c>
      <c r="I50" s="5">
        <f>IF(F50&gt;0,(G50-F50)/F50*100,0)</f>
        <v/>
      </c>
      <c r="J50" s="19">
        <f>COUNTIF(Техкарты!A:A,C50)</f>
        <v/>
      </c>
      <c r="K50" s="6" t="inlineStr"/>
      <c r="L50" s="2" t="inlineStr">
        <is>
          <t>Да</t>
        </is>
      </c>
    </row>
    <row r="51">
      <c r="A51" s="2" t="n">
        <v>50</v>
      </c>
      <c r="B51" s="2" t="inlineStr">
        <is>
          <t>Полуфабрикаты мясные</t>
        </is>
      </c>
      <c r="C51" s="3" t="inlineStr">
        <is>
          <t>Кийма Шаш</t>
        </is>
      </c>
      <c r="D51" s="2" t="inlineStr">
        <is>
          <t>grill</t>
        </is>
      </c>
      <c r="E51" s="19">
        <f>SUMIF(Техкарты!A:A,C51,Техкарты!D:D)</f>
        <v/>
      </c>
      <c r="F51" s="20">
        <f>SUMIF(Техкарты!A:A,C51,Техкарты!G:G)</f>
        <v/>
      </c>
      <c r="G51" s="6" t="inlineStr"/>
      <c r="H51" s="5">
        <f>IF(G51&gt;0,F51/G51*100,0)</f>
        <v/>
      </c>
      <c r="I51" s="5">
        <f>IF(F51&gt;0,(G51-F51)/F51*100,0)</f>
        <v/>
      </c>
      <c r="J51" s="19">
        <f>COUNTIF(Техкарты!A:A,C51)</f>
        <v/>
      </c>
      <c r="K51" s="6" t="inlineStr"/>
      <c r="L51" s="2" t="inlineStr">
        <is>
          <t>Да</t>
        </is>
      </c>
    </row>
    <row r="52">
      <c r="A52" s="2" t="n">
        <v>51</v>
      </c>
      <c r="B52" s="2" t="inlineStr">
        <is>
          <t>Полуфабрикаты мясные</t>
        </is>
      </c>
      <c r="C52" s="3" t="inlineStr">
        <is>
          <t>Нежный</t>
        </is>
      </c>
      <c r="D52" s="2" t="inlineStr">
        <is>
          <t>grill</t>
        </is>
      </c>
      <c r="E52" s="19">
        <f>SUMIF(Техкарты!A:A,C52,Техкарты!D:D)</f>
        <v/>
      </c>
      <c r="F52" s="20">
        <f>SUMIF(Техкарты!A:A,C52,Техкарты!G:G)</f>
        <v/>
      </c>
      <c r="G52" s="6" t="inlineStr"/>
      <c r="H52" s="5">
        <f>IF(G52&gt;0,F52/G52*100,0)</f>
        <v/>
      </c>
      <c r="I52" s="5">
        <f>IF(F52&gt;0,(G52-F52)/F52*100,0)</f>
        <v/>
      </c>
      <c r="J52" s="19">
        <f>COUNTIF(Техкарты!A:A,C52)</f>
        <v/>
      </c>
      <c r="K52" s="6" t="inlineStr"/>
      <c r="L52" s="2" t="inlineStr">
        <is>
          <t>Да</t>
        </is>
      </c>
    </row>
    <row r="53">
      <c r="A53" s="2" t="n">
        <v>52</v>
      </c>
      <c r="B53" s="2" t="inlineStr">
        <is>
          <t>Полуфабрикаты мясные</t>
        </is>
      </c>
      <c r="C53" s="3" t="inlineStr">
        <is>
          <t>Шаршара</t>
        </is>
      </c>
      <c r="D53" s="2" t="inlineStr">
        <is>
          <t>grill</t>
        </is>
      </c>
      <c r="E53" s="19">
        <f>SUMIF(Техкарты!A:A,C53,Техкарты!D:D)</f>
        <v/>
      </c>
      <c r="F53" s="20">
        <f>SUMIF(Техкарты!A:A,C53,Техкарты!G:G)</f>
        <v/>
      </c>
      <c r="G53" s="6" t="inlineStr"/>
      <c r="H53" s="5">
        <f>IF(G53&gt;0,F53/G53*100,0)</f>
        <v/>
      </c>
      <c r="I53" s="5">
        <f>IF(F53&gt;0,(G53-F53)/F53*100,0)</f>
        <v/>
      </c>
      <c r="J53" s="19">
        <f>COUNTIF(Техкарты!A:A,C53)</f>
        <v/>
      </c>
      <c r="K53" s="6" t="inlineStr"/>
      <c r="L53" s="2" t="inlineStr">
        <is>
          <t>Да</t>
        </is>
      </c>
    </row>
    <row r="54">
      <c r="A54" s="2" t="n">
        <v>53</v>
      </c>
      <c r="B54" s="2" t="inlineStr">
        <is>
          <t>Полуфабрикаты мясные</t>
        </is>
      </c>
      <c r="C54" s="3" t="inlineStr">
        <is>
          <t>Мариновка Верзка</t>
        </is>
      </c>
      <c r="D54" s="2" t="inlineStr">
        <is>
          <t>grill</t>
        </is>
      </c>
      <c r="E54" s="19">
        <f>SUMIF(Техкарты!A:A,C54,Техкарты!D:D)</f>
        <v/>
      </c>
      <c r="F54" s="20">
        <f>SUMIF(Техкарты!A:A,C54,Техкарты!G:G)</f>
        <v/>
      </c>
      <c r="G54" s="2" t="n">
        <v>33</v>
      </c>
      <c r="H54" s="5">
        <f>IF(G54&gt;0,F54/G54*100,0)</f>
        <v/>
      </c>
      <c r="I54" s="5">
        <f>IF(F54&gt;0,(G54-F54)/F54*100,0)</f>
        <v/>
      </c>
      <c r="J54" s="19">
        <f>COUNTIF(Техкарты!A:A,C54)</f>
        <v/>
      </c>
      <c r="K54" s="6" t="inlineStr"/>
      <c r="L54" s="2" t="inlineStr">
        <is>
          <t>Да</t>
        </is>
      </c>
    </row>
    <row r="55">
      <c r="A55" s="2" t="n">
        <v>54</v>
      </c>
      <c r="B55" s="2" t="inlineStr">
        <is>
          <t>Полуфабрикаты мясные</t>
        </is>
      </c>
      <c r="C55" s="3" t="inlineStr">
        <is>
          <t>Мариновка Баранина</t>
        </is>
      </c>
      <c r="D55" s="2" t="inlineStr">
        <is>
          <t>grill</t>
        </is>
      </c>
      <c r="E55" s="19">
        <f>SUMIF(Техкарты!A:A,C55,Техкарты!D:D)</f>
        <v/>
      </c>
      <c r="F55" s="20">
        <f>SUMIF(Техкарты!A:A,C55,Техкарты!G:G)</f>
        <v/>
      </c>
      <c r="G55" s="2" t="n">
        <v>37</v>
      </c>
      <c r="H55" s="5">
        <f>IF(G55&gt;0,F55/G55*100,0)</f>
        <v/>
      </c>
      <c r="I55" s="5">
        <f>IF(F55&gt;0,(G55-F55)/F55*100,0)</f>
        <v/>
      </c>
      <c r="J55" s="19">
        <f>COUNTIF(Техкарты!A:A,C55)</f>
        <v/>
      </c>
      <c r="K55" s="6" t="inlineStr"/>
      <c r="L55" s="2" t="inlineStr">
        <is>
          <t>Да</t>
        </is>
      </c>
    </row>
    <row r="56">
      <c r="A56" s="2" t="n">
        <v>55</v>
      </c>
      <c r="B56" s="2" t="inlineStr">
        <is>
          <t>Полуфабрикаты мясные</t>
        </is>
      </c>
      <c r="C56" s="3" t="inlineStr">
        <is>
          <t>Мариновка Рбай На Мангали</t>
        </is>
      </c>
      <c r="D56" s="2" t="inlineStr">
        <is>
          <t>grill</t>
        </is>
      </c>
      <c r="E56" s="19">
        <f>SUMIF(Техкарты!A:A,C56,Техкарты!D:D)</f>
        <v/>
      </c>
      <c r="F56" s="20">
        <f>SUMIF(Техкарты!A:A,C56,Техкарты!G:G)</f>
        <v/>
      </c>
      <c r="G56" s="2" t="n">
        <v>350</v>
      </c>
      <c r="H56" s="5">
        <f>IF(G56&gt;0,F56/G56*100,0)</f>
        <v/>
      </c>
      <c r="I56" s="5">
        <f>IF(F56&gt;0,(G56-F56)/F56*100,0)</f>
        <v/>
      </c>
      <c r="J56" s="19">
        <f>COUNTIF(Техкарты!A:A,C56)</f>
        <v/>
      </c>
      <c r="K56" s="6" t="inlineStr"/>
      <c r="L56" s="2" t="inlineStr">
        <is>
          <t>Да</t>
        </is>
      </c>
    </row>
    <row r="57">
      <c r="A57" s="2" t="n">
        <v>56</v>
      </c>
      <c r="B57" s="2" t="inlineStr">
        <is>
          <t>Полуфабрикаты мясные</t>
        </is>
      </c>
      <c r="C57" s="3" t="inlineStr">
        <is>
          <t>Мариновка Корейка</t>
        </is>
      </c>
      <c r="D57" s="2" t="inlineStr">
        <is>
          <t>grill</t>
        </is>
      </c>
      <c r="E57" s="19">
        <f>SUMIF(Техкарты!A:A,C57,Техкарты!D:D)</f>
        <v/>
      </c>
      <c r="F57" s="20">
        <f>SUMIF(Техкарты!A:A,C57,Техкарты!G:G)</f>
        <v/>
      </c>
      <c r="G57" s="2" t="n">
        <v>320</v>
      </c>
      <c r="H57" s="5">
        <f>IF(G57&gt;0,F57/G57*100,0)</f>
        <v/>
      </c>
      <c r="I57" s="5">
        <f>IF(F57&gt;0,(G57-F57)/F57*100,0)</f>
        <v/>
      </c>
      <c r="J57" s="19">
        <f>COUNTIF(Техкарты!A:A,C57)</f>
        <v/>
      </c>
      <c r="K57" s="6" t="inlineStr"/>
      <c r="L57" s="2" t="inlineStr">
        <is>
          <t>Да</t>
        </is>
      </c>
    </row>
    <row r="58">
      <c r="A58" s="2" t="n">
        <v>57</v>
      </c>
      <c r="B58" s="2" t="inlineStr">
        <is>
          <t>Полуфабрикаты мясные</t>
        </is>
      </c>
      <c r="C58" s="3" t="inlineStr">
        <is>
          <t>Крилышки</t>
        </is>
      </c>
      <c r="D58" s="2" t="inlineStr">
        <is>
          <t>grill</t>
        </is>
      </c>
      <c r="E58" s="19">
        <f>SUMIF(Техкарты!A:A,C58,Техкарты!D:D)</f>
        <v/>
      </c>
      <c r="F58" s="20">
        <f>SUMIF(Техкарты!A:A,C58,Техкарты!G:G)</f>
        <v/>
      </c>
      <c r="G58" s="2" t="n">
        <v>17</v>
      </c>
      <c r="H58" s="5">
        <f>IF(G58&gt;0,F58/G58*100,0)</f>
        <v/>
      </c>
      <c r="I58" s="5">
        <f>IF(F58&gt;0,(G58-F58)/F58*100,0)</f>
        <v/>
      </c>
      <c r="J58" s="19">
        <f>COUNTIF(Техкарты!A:A,C58)</f>
        <v/>
      </c>
      <c r="K58" s="6" t="inlineStr"/>
      <c r="L58" s="2" t="inlineStr">
        <is>
          <t>Да</t>
        </is>
      </c>
    </row>
    <row r="59">
      <c r="A59" s="2" t="n">
        <v>58</v>
      </c>
      <c r="B59" s="2" t="inlineStr">
        <is>
          <t>Полуфабрикаты мясные</t>
        </is>
      </c>
      <c r="C59" s="3" t="inlineStr">
        <is>
          <t>Ассорти</t>
        </is>
      </c>
      <c r="D59" s="2" t="inlineStr">
        <is>
          <t>grill</t>
        </is>
      </c>
      <c r="E59" s="19">
        <f>SUMIF(Техкарты!A:A,C59,Техкарты!D:D)</f>
        <v/>
      </c>
      <c r="F59" s="20">
        <f>SUMIF(Техкарты!A:A,C59,Техкарты!G:G)</f>
        <v/>
      </c>
      <c r="G59" s="6" t="inlineStr"/>
      <c r="H59" s="5">
        <f>IF(G59&gt;0,F59/G59*100,0)</f>
        <v/>
      </c>
      <c r="I59" s="5">
        <f>IF(F59&gt;0,(G59-F59)/F59*100,0)</f>
        <v/>
      </c>
      <c r="J59" s="19">
        <f>COUNTIF(Техкарты!A:A,C59)</f>
        <v/>
      </c>
      <c r="K59" s="6" t="inlineStr"/>
      <c r="L59" s="2" t="inlineStr">
        <is>
          <t>Да</t>
        </is>
      </c>
    </row>
    <row r="60">
      <c r="A60" s="2" t="n">
        <v>59</v>
      </c>
      <c r="B60" s="2" t="inlineStr">
        <is>
          <t>Полуфабрикаты мясные</t>
        </is>
      </c>
      <c r="C60" s="3" t="inlineStr">
        <is>
          <t>Рулет</t>
        </is>
      </c>
      <c r="D60" s="2" t="inlineStr">
        <is>
          <t>grill</t>
        </is>
      </c>
      <c r="E60" s="19">
        <f>SUMIF(Техкарты!A:A,C60,Техкарты!D:D)</f>
        <v/>
      </c>
      <c r="F60" s="20">
        <f>SUMIF(Техкарты!A:A,C60,Техкарты!G:G)</f>
        <v/>
      </c>
      <c r="G60" s="6" t="inlineStr"/>
      <c r="H60" s="5">
        <f>IF(G60&gt;0,F60/G60*100,0)</f>
        <v/>
      </c>
      <c r="I60" s="5">
        <f>IF(F60&gt;0,(G60-F60)/F60*100,0)</f>
        <v/>
      </c>
      <c r="J60" s="19">
        <f>COUNTIF(Техкарты!A:A,C60)</f>
        <v/>
      </c>
      <c r="K60" s="6" t="inlineStr"/>
      <c r="L60" s="2" t="inlineStr">
        <is>
          <t>Да</t>
        </is>
      </c>
    </row>
    <row r="61">
      <c r="A61" s="2" t="n">
        <v>60</v>
      </c>
      <c r="B61" s="2" t="inlineStr">
        <is>
          <t>Полуфабрикаты мясные</t>
        </is>
      </c>
      <c r="C61" s="3" t="inlineStr">
        <is>
          <t>Котлет Домашный</t>
        </is>
      </c>
      <c r="D61" s="2" t="inlineStr">
        <is>
          <t>grill</t>
        </is>
      </c>
      <c r="E61" s="19">
        <f>SUMIF(Техкарты!A:A,C61,Техкарты!D:D)</f>
        <v/>
      </c>
      <c r="F61" s="20">
        <f>SUMIF(Техкарты!A:A,C61,Техкарты!G:G)</f>
        <v/>
      </c>
      <c r="G61" s="6" t="inlineStr"/>
      <c r="H61" s="5">
        <f>IF(G61&gt;0,F61/G61*100,0)</f>
        <v/>
      </c>
      <c r="I61" s="5">
        <f>IF(F61&gt;0,(G61-F61)/F61*100,0)</f>
        <v/>
      </c>
      <c r="J61" s="19">
        <f>COUNTIF(Техкарты!A:A,C61)</f>
        <v/>
      </c>
      <c r="K61" s="6" t="inlineStr"/>
      <c r="L61" s="2" t="inlineStr">
        <is>
          <t>Да</t>
        </is>
      </c>
    </row>
    <row r="62">
      <c r="A62" s="2" t="n">
        <v>61</v>
      </c>
      <c r="B62" s="2" t="inlineStr">
        <is>
          <t>Вторые (заказные)</t>
        </is>
      </c>
      <c r="C62" s="3" t="inlineStr">
        <is>
          <t>Паста Классик</t>
        </is>
      </c>
      <c r="D62" s="2" t="inlineStr">
        <is>
          <t>hot_kitchen</t>
        </is>
      </c>
      <c r="E62" s="19">
        <f>SUMIF(Техкарты!A:A,C62,Техкарты!D:D)</f>
        <v/>
      </c>
      <c r="F62" s="20">
        <f>SUMIF(Техкарты!A:A,C62,Техкарты!G:G)</f>
        <v/>
      </c>
      <c r="G62" s="6" t="inlineStr"/>
      <c r="H62" s="5">
        <f>IF(G62&gt;0,F62/G62*100,0)</f>
        <v/>
      </c>
      <c r="I62" s="5">
        <f>IF(F62&gt;0,(G62-F62)/F62*100,0)</f>
        <v/>
      </c>
      <c r="J62" s="19">
        <f>COUNTIF(Техкарты!A:A,C62)</f>
        <v/>
      </c>
      <c r="K62" s="6" t="inlineStr"/>
      <c r="L62" s="2" t="inlineStr">
        <is>
          <t>Да</t>
        </is>
      </c>
    </row>
    <row r="63">
      <c r="A63" s="2" t="n">
        <v>62</v>
      </c>
      <c r="B63" s="2" t="inlineStr">
        <is>
          <t>Вторые (заказные)</t>
        </is>
      </c>
      <c r="C63" s="3" t="inlineStr">
        <is>
          <t>Паста Чаханский</t>
        </is>
      </c>
      <c r="D63" s="2" t="inlineStr">
        <is>
          <t>hot_kitchen</t>
        </is>
      </c>
      <c r="E63" s="19">
        <f>SUMIF(Техкарты!A:A,C63,Техкарты!D:D)</f>
        <v/>
      </c>
      <c r="F63" s="20">
        <f>SUMIF(Техкарты!A:A,C63,Техкарты!G:G)</f>
        <v/>
      </c>
      <c r="G63" s="6" t="inlineStr"/>
      <c r="H63" s="5">
        <f>IF(G63&gt;0,F63/G63*100,0)</f>
        <v/>
      </c>
      <c r="I63" s="5">
        <f>IF(F63&gt;0,(G63-F63)/F63*100,0)</f>
        <v/>
      </c>
      <c r="J63" s="19">
        <f>COUNTIF(Техкарты!A:A,C63)</f>
        <v/>
      </c>
      <c r="K63" s="6" t="inlineStr"/>
      <c r="L63" s="2" t="inlineStr">
        <is>
          <t>Да</t>
        </is>
      </c>
    </row>
    <row r="64">
      <c r="A64" s="2" t="n">
        <v>63</v>
      </c>
      <c r="B64" s="2" t="inlineStr">
        <is>
          <t>Вторые (заказные)</t>
        </is>
      </c>
      <c r="C64" s="3" t="inlineStr">
        <is>
          <t>Медалион В Сливочном Соусе</t>
        </is>
      </c>
      <c r="D64" s="2" t="inlineStr">
        <is>
          <t>hot_kitchen</t>
        </is>
      </c>
      <c r="E64" s="19">
        <f>SUMIF(Техкарты!A:A,C64,Техкарты!D:D)</f>
        <v/>
      </c>
      <c r="F64" s="20">
        <f>SUMIF(Техкарты!A:A,C64,Техкарты!G:G)</f>
        <v/>
      </c>
      <c r="G64" s="6" t="inlineStr"/>
      <c r="H64" s="5">
        <f>IF(G64&gt;0,F64/G64*100,0)</f>
        <v/>
      </c>
      <c r="I64" s="5">
        <f>IF(F64&gt;0,(G64-F64)/F64*100,0)</f>
        <v/>
      </c>
      <c r="J64" s="19">
        <f>COUNTIF(Техкарты!A:A,C64)</f>
        <v/>
      </c>
      <c r="K64" s="6" t="inlineStr"/>
      <c r="L64" s="2" t="inlineStr">
        <is>
          <t>Да</t>
        </is>
      </c>
    </row>
    <row r="65">
      <c r="A65" s="2" t="n">
        <v>64</v>
      </c>
      <c r="B65" s="2" t="inlineStr">
        <is>
          <t>Вторые (заказные)</t>
        </is>
      </c>
      <c r="C65" s="3" t="inlineStr">
        <is>
          <t>Божество</t>
        </is>
      </c>
      <c r="D65" s="2" t="inlineStr">
        <is>
          <t>hot_kitchen</t>
        </is>
      </c>
      <c r="E65" s="19">
        <f>SUMIF(Техкарты!A:A,C65,Техкарты!D:D)</f>
        <v/>
      </c>
      <c r="F65" s="20">
        <f>SUMIF(Техкарты!A:A,C65,Техкарты!G:G)</f>
        <v/>
      </c>
      <c r="G65" s="6" t="inlineStr"/>
      <c r="H65" s="5">
        <f>IF(G65&gt;0,F65/G65*100,0)</f>
        <v/>
      </c>
      <c r="I65" s="5">
        <f>IF(F65&gt;0,(G65-F65)/F65*100,0)</f>
        <v/>
      </c>
      <c r="J65" s="19">
        <f>COUNTIF(Техкарты!A:A,C65)</f>
        <v/>
      </c>
      <c r="K65" s="6" t="inlineStr"/>
      <c r="L65" s="2" t="inlineStr">
        <is>
          <t>Да</t>
        </is>
      </c>
    </row>
    <row r="66">
      <c r="A66" s="2" t="n">
        <v>65</v>
      </c>
      <c r="B66" s="2" t="inlineStr">
        <is>
          <t>Вторые (заказные)</t>
        </is>
      </c>
      <c r="C66" s="3" t="inlineStr">
        <is>
          <t>Вагури</t>
        </is>
      </c>
      <c r="D66" s="2" t="inlineStr">
        <is>
          <t>hot_kitchen</t>
        </is>
      </c>
      <c r="E66" s="19">
        <f>SUMIF(Техкарты!A:A,C66,Техкарты!D:D)</f>
        <v/>
      </c>
      <c r="F66" s="20">
        <f>SUMIF(Техкарты!A:A,C66,Техкарты!G:G)</f>
        <v/>
      </c>
      <c r="G66" s="6" t="inlineStr"/>
      <c r="H66" s="5">
        <f>IF(G66&gt;0,F66/G66*100,0)</f>
        <v/>
      </c>
      <c r="I66" s="5">
        <f>IF(F66&gt;0,(G66-F66)/F66*100,0)</f>
        <v/>
      </c>
      <c r="J66" s="19">
        <f>COUNTIF(Техкарты!A:A,C66)</f>
        <v/>
      </c>
      <c r="K66" s="6" t="inlineStr"/>
      <c r="L66" s="2" t="inlineStr">
        <is>
          <t>Да</t>
        </is>
      </c>
    </row>
    <row r="67">
      <c r="A67" s="2" t="n">
        <v>66</v>
      </c>
      <c r="B67" s="2" t="inlineStr">
        <is>
          <t>Вторые (заказные)</t>
        </is>
      </c>
      <c r="C67" s="3" t="inlineStr">
        <is>
          <t>Ягненка Баранина</t>
        </is>
      </c>
      <c r="D67" s="2" t="inlineStr">
        <is>
          <t>hot_kitchen</t>
        </is>
      </c>
      <c r="E67" s="19">
        <f>SUMIF(Техкарты!A:A,C67,Техкарты!D:D)</f>
        <v/>
      </c>
      <c r="F67" s="20">
        <f>SUMIF(Техкарты!A:A,C67,Техкарты!G:G)</f>
        <v/>
      </c>
      <c r="G67" s="6" t="inlineStr"/>
      <c r="H67" s="5">
        <f>IF(G67&gt;0,F67/G67*100,0)</f>
        <v/>
      </c>
      <c r="I67" s="5">
        <f>IF(F67&gt;0,(G67-F67)/F67*100,0)</f>
        <v/>
      </c>
      <c r="J67" s="19">
        <f>COUNTIF(Техкарты!A:A,C67)</f>
        <v/>
      </c>
      <c r="K67" s="6" t="inlineStr"/>
      <c r="L67" s="2" t="inlineStr">
        <is>
          <t>Да</t>
        </is>
      </c>
    </row>
    <row r="68">
      <c r="A68" s="2" t="n">
        <v>67</v>
      </c>
      <c r="B68" s="2" t="inlineStr">
        <is>
          <t>Вторые (заказные)</t>
        </is>
      </c>
      <c r="C68" s="3" t="inlineStr">
        <is>
          <t>Виагра</t>
        </is>
      </c>
      <c r="D68" s="2" t="inlineStr">
        <is>
          <t>hot_kitchen</t>
        </is>
      </c>
      <c r="E68" s="19">
        <f>SUMIF(Техкарты!A:A,C68,Техкарты!D:D)</f>
        <v/>
      </c>
      <c r="F68" s="20">
        <f>SUMIF(Техкарты!A:A,C68,Техкарты!G:G)</f>
        <v/>
      </c>
      <c r="G68" s="6" t="inlineStr"/>
      <c r="H68" s="5">
        <f>IF(G68&gt;0,F68/G68*100,0)</f>
        <v/>
      </c>
      <c r="I68" s="5">
        <f>IF(F68&gt;0,(G68-F68)/F68*100,0)</f>
        <v/>
      </c>
      <c r="J68" s="19">
        <f>COUNTIF(Техкарты!A:A,C68)</f>
        <v/>
      </c>
      <c r="K68" s="6" t="inlineStr"/>
      <c r="L68" s="2" t="inlineStr">
        <is>
          <t>Да</t>
        </is>
      </c>
    </row>
    <row r="69">
      <c r="A69" s="2" t="n">
        <v>68</v>
      </c>
      <c r="B69" s="2" t="inlineStr">
        <is>
          <t>Вторые (заказные)</t>
        </is>
      </c>
      <c r="C69" s="3" t="inlineStr">
        <is>
          <t>Чупонча</t>
        </is>
      </c>
      <c r="D69" s="2" t="inlineStr">
        <is>
          <t>hot_kitchen</t>
        </is>
      </c>
      <c r="E69" s="19">
        <f>SUMIF(Техкарты!A:A,C69,Техкарты!D:D)</f>
        <v/>
      </c>
      <c r="F69" s="20">
        <f>SUMIF(Техкарты!A:A,C69,Техкарты!G:G)</f>
        <v/>
      </c>
      <c r="G69" s="6" t="inlineStr"/>
      <c r="H69" s="5">
        <f>IF(G69&gt;0,F69/G69*100,0)</f>
        <v/>
      </c>
      <c r="I69" s="5">
        <f>IF(F69&gt;0,(G69-F69)/F69*100,0)</f>
        <v/>
      </c>
      <c r="J69" s="19">
        <f>COUNTIF(Техкарты!A:A,C69)</f>
        <v/>
      </c>
      <c r="K69" s="6" t="inlineStr"/>
      <c r="L69" s="2" t="inlineStr">
        <is>
          <t>Да</t>
        </is>
      </c>
    </row>
    <row r="70">
      <c r="A70" s="2" t="n">
        <v>69</v>
      </c>
      <c r="B70" s="2" t="inlineStr">
        <is>
          <t>Вторые (заказные)</t>
        </is>
      </c>
      <c r="C70" s="3" t="inlineStr">
        <is>
          <t>Картошка По Домашному</t>
        </is>
      </c>
      <c r="D70" s="2" t="inlineStr">
        <is>
          <t>hot_kitchen</t>
        </is>
      </c>
      <c r="E70" s="19">
        <f>SUMIF(Техкарты!A:A,C70,Техкарты!D:D)</f>
        <v/>
      </c>
      <c r="F70" s="20">
        <f>SUMIF(Техкарты!A:A,C70,Техкарты!G:G)</f>
        <v/>
      </c>
      <c r="G70" s="6" t="inlineStr"/>
      <c r="H70" s="5">
        <f>IF(G70&gt;0,F70/G70*100,0)</f>
        <v/>
      </c>
      <c r="I70" s="5">
        <f>IF(F70&gt;0,(G70-F70)/F70*100,0)</f>
        <v/>
      </c>
      <c r="J70" s="19">
        <f>COUNTIF(Техкарты!A:A,C70)</f>
        <v/>
      </c>
      <c r="K70" s="6" t="inlineStr"/>
      <c r="L70" s="2" t="inlineStr">
        <is>
          <t>Да</t>
        </is>
      </c>
    </row>
    <row r="71">
      <c r="A71" s="2" t="n">
        <v>70</v>
      </c>
      <c r="B71" s="2" t="inlineStr">
        <is>
          <t>Вторые (заказные)</t>
        </is>
      </c>
      <c r="C71" s="3" t="inlineStr">
        <is>
          <t>Стейк Франсузкий</t>
        </is>
      </c>
      <c r="D71" s="2" t="inlineStr">
        <is>
          <t>hot_kitchen</t>
        </is>
      </c>
      <c r="E71" s="19">
        <f>SUMIF(Техкарты!A:A,C71,Техкарты!D:D)</f>
        <v/>
      </c>
      <c r="F71" s="20">
        <f>SUMIF(Техкарты!A:A,C71,Техкарты!G:G)</f>
        <v/>
      </c>
      <c r="G71" s="6" t="inlineStr"/>
      <c r="H71" s="5">
        <f>IF(G71&gt;0,F71/G71*100,0)</f>
        <v/>
      </c>
      <c r="I71" s="5">
        <f>IF(F71&gt;0,(G71-F71)/F71*100,0)</f>
        <v/>
      </c>
      <c r="J71" s="19">
        <f>COUNTIF(Техкарты!A:A,C71)</f>
        <v/>
      </c>
      <c r="K71" s="6" t="inlineStr"/>
      <c r="L71" s="2" t="inlineStr">
        <is>
          <t>Да</t>
        </is>
      </c>
    </row>
  </sheetData>
  <dataValidations count="3">
    <dataValidation sqref="D2:D71" showDropDown="0" showInputMessage="0" showErrorMessage="0" allowBlank="1" type="list">
      <formula1>"hot_kitchen,cold_kitchen,grill,bar,showcase"</formula1>
    </dataValidation>
    <dataValidation sqref="L2:L71" showDropDown="0" showInputMessage="0" showErrorMessage="0" allowBlank="1" type="list">
      <formula1>"Да,Нет"</formula1>
    </dataValidation>
    <dataValidation sqref="B2:B71" showDropDown="0" showInputMessage="0" showErrorMessage="0" allowBlank="1" type="list">
      <formula1>"Салаты,Супы,Вторые (готовые),Вторые (заказные),Гарниры,Завтраки,Полуфабрикаты мясные,Выпечка,Напитки,Десерты"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10" customWidth="1" min="4" max="4"/>
    <col width="6" customWidth="1" min="5" max="5"/>
    <col width="14" customWidth="1" min="6" max="6"/>
    <col width="12" customWidth="1" min="7" max="7"/>
  </cols>
  <sheetData>
    <row r="1">
      <c r="A1" s="1" t="inlineStr">
        <is>
          <t>Блюдо</t>
        </is>
      </c>
      <c r="B1" s="1" t="inlineStr">
        <is>
          <t>Категория</t>
        </is>
      </c>
      <c r="C1" s="1" t="inlineStr">
        <is>
          <t>Ингредиент</t>
        </is>
      </c>
      <c r="D1" s="1" t="inlineStr">
        <is>
          <t>Масса (г)</t>
        </is>
      </c>
      <c r="E1" s="1" t="inlineStr">
        <is>
          <t>Ед.</t>
        </is>
      </c>
      <c r="F1" s="1" t="inlineStr">
        <is>
          <t>Цена за кг</t>
        </is>
      </c>
      <c r="G1" s="1" t="inlineStr">
        <is>
          <t>Стоимость</t>
        </is>
      </c>
    </row>
    <row r="2">
      <c r="A2" s="3" t="inlineStr">
        <is>
          <t>Салат Каприз</t>
        </is>
      </c>
      <c r="B2" s="2" t="inlineStr">
        <is>
          <t>Салаты</t>
        </is>
      </c>
      <c r="C2" s="2" t="inlineStr">
        <is>
          <t>тил</t>
        </is>
      </c>
      <c r="D2" s="2" t="n">
        <v>40</v>
      </c>
      <c r="E2" s="2" t="inlineStr">
        <is>
          <t>г</t>
        </is>
      </c>
      <c r="F2" s="4" t="n">
        <v>125</v>
      </c>
      <c r="G2" s="4" t="n">
        <v>5</v>
      </c>
    </row>
    <row r="3">
      <c r="A3" s="2" t="inlineStr">
        <is>
          <t>Салат Каприз</t>
        </is>
      </c>
      <c r="B3" s="2" t="inlineStr"/>
      <c r="C3" s="2" t="inlineStr">
        <is>
          <t>маенез</t>
        </is>
      </c>
      <c r="D3" s="2" t="n">
        <v>30</v>
      </c>
      <c r="E3" s="2" t="inlineStr">
        <is>
          <t>г</t>
        </is>
      </c>
      <c r="F3" s="4" t="n">
        <v>20.5</v>
      </c>
      <c r="G3" s="4" t="n">
        <v>0.61</v>
      </c>
    </row>
    <row r="4">
      <c r="A4" s="2" t="inlineStr">
        <is>
          <t>Салат Каприз</t>
        </is>
      </c>
      <c r="B4" s="2" t="inlineStr"/>
      <c r="C4" s="2" t="inlineStr">
        <is>
          <t>грибы</t>
        </is>
      </c>
      <c r="D4" s="2" t="n">
        <v>10</v>
      </c>
      <c r="E4" s="2" t="inlineStr">
        <is>
          <t>г</t>
        </is>
      </c>
      <c r="F4" s="4" t="n">
        <v>96</v>
      </c>
      <c r="G4" s="4" t="n">
        <v>0.96</v>
      </c>
    </row>
    <row r="5">
      <c r="A5" s="2" t="inlineStr">
        <is>
          <t>Салат Каприз</t>
        </is>
      </c>
      <c r="B5" s="2" t="inlineStr"/>
      <c r="C5" s="2" t="inlineStr">
        <is>
          <t>окорочка</t>
        </is>
      </c>
      <c r="D5" s="2" t="n">
        <v>40</v>
      </c>
      <c r="E5" s="2" t="inlineStr">
        <is>
          <t>г</t>
        </is>
      </c>
      <c r="F5" s="4" t="n">
        <v>80</v>
      </c>
      <c r="G5" s="4" t="n">
        <v>3.2</v>
      </c>
    </row>
    <row r="6">
      <c r="A6" s="2" t="inlineStr">
        <is>
          <t>Салат Каприз</t>
        </is>
      </c>
      <c r="B6" s="2" t="inlineStr"/>
      <c r="C6" s="2" t="inlineStr">
        <is>
          <t>зеленый горошек</t>
        </is>
      </c>
      <c r="D6" s="2" t="n">
        <v>10</v>
      </c>
      <c r="E6" s="2" t="inlineStr">
        <is>
          <t>г</t>
        </is>
      </c>
      <c r="F6" s="4" t="n">
        <v>50</v>
      </c>
      <c r="G6" s="4" t="n">
        <v>0.5</v>
      </c>
    </row>
    <row r="7">
      <c r="A7" s="2" t="inlineStr">
        <is>
          <t>Салат Каприз</t>
        </is>
      </c>
      <c r="B7" s="2" t="inlineStr"/>
      <c r="C7" s="2" t="inlineStr">
        <is>
          <t>салат лист</t>
        </is>
      </c>
      <c r="D7" s="2" t="n">
        <v>10</v>
      </c>
      <c r="E7" s="2" t="inlineStr">
        <is>
          <t>г</t>
        </is>
      </c>
      <c r="F7" s="4" t="n">
        <v>2</v>
      </c>
      <c r="G7" s="4" t="n">
        <v>0.02</v>
      </c>
    </row>
    <row r="8">
      <c r="A8" s="2" t="inlineStr">
        <is>
          <t>Салат Каприз</t>
        </is>
      </c>
      <c r="B8" s="2" t="inlineStr"/>
      <c r="C8" s="2" t="inlineStr">
        <is>
          <t>черри</t>
        </is>
      </c>
      <c r="D8" s="2" t="n">
        <v>10</v>
      </c>
      <c r="E8" s="2" t="inlineStr">
        <is>
          <t>г</t>
        </is>
      </c>
      <c r="F8" s="4" t="n">
        <v>20</v>
      </c>
      <c r="G8" s="4" t="n">
        <v>0.2</v>
      </c>
    </row>
    <row r="9">
      <c r="C9" s="3" t="inlineStr">
        <is>
          <t>ИТОГО</t>
        </is>
      </c>
      <c r="F9" s="7" t="inlineStr">
        <is>
          <t>Цена: 22.0</t>
        </is>
      </c>
      <c r="G9" s="8" t="n">
        <v>10.49</v>
      </c>
    </row>
    <row r="10"/>
    <row r="11">
      <c r="A11" s="3" t="inlineStr">
        <is>
          <t>Мастова</t>
        </is>
      </c>
      <c r="B11" s="2" t="inlineStr">
        <is>
          <t>Супы</t>
        </is>
      </c>
      <c r="C11" s="2" t="inlineStr">
        <is>
          <t>ег</t>
        </is>
      </c>
      <c r="D11" s="2" t="n">
        <v>200</v>
      </c>
      <c r="E11" s="2" t="inlineStr">
        <is>
          <t>г</t>
        </is>
      </c>
      <c r="F11" s="4" t="n">
        <v>17</v>
      </c>
      <c r="G11" s="4" t="n">
        <v>3.4</v>
      </c>
    </row>
    <row r="12">
      <c r="A12" s="2" t="inlineStr">
        <is>
          <t>Мастова</t>
        </is>
      </c>
      <c r="B12" s="2" t="inlineStr"/>
      <c r="C12" s="2" t="inlineStr">
        <is>
          <t>пиез</t>
        </is>
      </c>
      <c r="D12" s="2" t="n">
        <v>200</v>
      </c>
      <c r="E12" s="2" t="inlineStr">
        <is>
          <t>г</t>
        </is>
      </c>
      <c r="F12" s="4" t="n">
        <v>10</v>
      </c>
      <c r="G12" s="4" t="n">
        <v>2</v>
      </c>
    </row>
    <row r="13">
      <c r="A13" s="2" t="inlineStr">
        <is>
          <t>Мастова</t>
        </is>
      </c>
      <c r="B13" s="2" t="inlineStr"/>
      <c r="C13" s="2" t="inlineStr">
        <is>
          <t>мясо</t>
        </is>
      </c>
      <c r="D13" s="2" t="n">
        <v>500</v>
      </c>
      <c r="E13" s="2" t="inlineStr">
        <is>
          <t>г</t>
        </is>
      </c>
      <c r="F13" s="4" t="n">
        <v>130</v>
      </c>
      <c r="G13" s="4" t="n">
        <v>65</v>
      </c>
    </row>
    <row r="14">
      <c r="A14" s="2" t="inlineStr">
        <is>
          <t>Мастова</t>
        </is>
      </c>
      <c r="B14" s="2" t="inlineStr"/>
      <c r="C14" s="2" t="inlineStr">
        <is>
          <t>сабзи</t>
        </is>
      </c>
      <c r="D14" s="2" t="n">
        <v>450</v>
      </c>
      <c r="E14" s="2" t="inlineStr">
        <is>
          <t>г</t>
        </is>
      </c>
      <c r="F14" s="4" t="n">
        <v>10</v>
      </c>
      <c r="G14" s="4" t="n">
        <v>4.5</v>
      </c>
    </row>
    <row r="15">
      <c r="A15" s="2" t="inlineStr">
        <is>
          <t>Мастова</t>
        </is>
      </c>
      <c r="B15" s="2" t="inlineStr"/>
      <c r="C15" s="2" t="inlineStr">
        <is>
          <t>картошка</t>
        </is>
      </c>
      <c r="D15" s="2" t="n">
        <v>400</v>
      </c>
      <c r="E15" s="2" t="inlineStr">
        <is>
          <t>г</t>
        </is>
      </c>
      <c r="F15" s="4" t="n">
        <v>10</v>
      </c>
      <c r="G15" s="4" t="n">
        <v>4</v>
      </c>
    </row>
    <row r="16">
      <c r="A16" s="2" t="inlineStr">
        <is>
          <t>Мастова</t>
        </is>
      </c>
      <c r="B16" s="2" t="inlineStr"/>
      <c r="C16" s="2" t="inlineStr">
        <is>
          <t>балгар</t>
        </is>
      </c>
      <c r="D16" s="2" t="n">
        <v>300</v>
      </c>
      <c r="E16" s="2" t="inlineStr">
        <is>
          <t>г</t>
        </is>
      </c>
      <c r="F16" s="4" t="n">
        <v>53.6</v>
      </c>
      <c r="G16" s="4" t="n">
        <v>16.08</v>
      </c>
    </row>
    <row r="17">
      <c r="A17" s="2" t="inlineStr">
        <is>
          <t>Мастова</t>
        </is>
      </c>
      <c r="B17" s="2" t="inlineStr"/>
      <c r="C17" s="2" t="inlineStr">
        <is>
          <t>гурунч</t>
        </is>
      </c>
      <c r="D17" s="2" t="n">
        <v>450</v>
      </c>
      <c r="E17" s="2" t="inlineStr">
        <is>
          <t>г</t>
        </is>
      </c>
      <c r="F17" s="4" t="n">
        <v>15</v>
      </c>
      <c r="G17" s="4" t="n">
        <v>6.75</v>
      </c>
    </row>
    <row r="18">
      <c r="A18" s="2" t="inlineStr">
        <is>
          <t>Мастова</t>
        </is>
      </c>
      <c r="B18" s="2" t="inlineStr"/>
      <c r="C18" s="2" t="inlineStr">
        <is>
          <t>кайла</t>
        </is>
      </c>
      <c r="D18" s="2" t="n">
        <v>15</v>
      </c>
      <c r="E18" s="2" t="inlineStr">
        <is>
          <t>г</t>
        </is>
      </c>
      <c r="F18" s="4" t="n">
        <v>100</v>
      </c>
      <c r="G18" s="4" t="n">
        <v>1.5</v>
      </c>
    </row>
    <row r="19">
      <c r="A19" s="2" t="inlineStr">
        <is>
          <t>Мастова</t>
        </is>
      </c>
      <c r="B19" s="2" t="inlineStr"/>
      <c r="C19" s="2" t="inlineStr">
        <is>
          <t>специ</t>
        </is>
      </c>
      <c r="D19" s="2" t="n">
        <v>50</v>
      </c>
      <c r="E19" s="2" t="inlineStr">
        <is>
          <t>г</t>
        </is>
      </c>
      <c r="F19" s="4" t="n">
        <v>100</v>
      </c>
      <c r="G19" s="4" t="n">
        <v>5</v>
      </c>
    </row>
    <row r="20">
      <c r="A20" s="2" t="inlineStr">
        <is>
          <t>Мастова</t>
        </is>
      </c>
      <c r="B20" s="2" t="inlineStr"/>
      <c r="C20" s="2" t="inlineStr">
        <is>
          <t>сув</t>
        </is>
      </c>
      <c r="D20" s="2" t="n">
        <v>5000</v>
      </c>
      <c r="E20" s="2" t="inlineStr">
        <is>
          <t>г</t>
        </is>
      </c>
      <c r="F20" s="4" t="n">
        <v>0.4</v>
      </c>
      <c r="G20" s="4" t="n">
        <v>2</v>
      </c>
    </row>
    <row r="21">
      <c r="A21" s="2" t="inlineStr">
        <is>
          <t>Мастова</t>
        </is>
      </c>
      <c r="B21" s="2" t="inlineStr"/>
      <c r="C21" s="2" t="inlineStr">
        <is>
          <t>катик</t>
        </is>
      </c>
      <c r="D21" s="2" t="n">
        <v>1000</v>
      </c>
      <c r="E21" s="2" t="inlineStr">
        <is>
          <t>г</t>
        </is>
      </c>
      <c r="F21" s="4" t="n">
        <v>10</v>
      </c>
      <c r="G21" s="4" t="n">
        <v>10</v>
      </c>
    </row>
    <row r="22">
      <c r="A22" s="2" t="inlineStr">
        <is>
          <t>Мастова</t>
        </is>
      </c>
      <c r="B22" s="2" t="inlineStr"/>
      <c r="C22" s="2" t="inlineStr">
        <is>
          <t>порция</t>
        </is>
      </c>
      <c r="D22" s="2" t="n">
        <v>250</v>
      </c>
      <c r="E22" s="2" t="inlineStr">
        <is>
          <t>г</t>
        </is>
      </c>
      <c r="F22" s="4" t="n">
        <v>0</v>
      </c>
      <c r="G22" s="4" t="n">
        <v>0</v>
      </c>
    </row>
    <row r="23">
      <c r="A23" s="2" t="inlineStr">
        <is>
          <t>Мастова</t>
        </is>
      </c>
      <c r="B23" s="2" t="inlineStr"/>
      <c r="C23" s="2" t="inlineStr">
        <is>
          <t>вых</t>
        </is>
      </c>
      <c r="D23" s="2" t="n">
        <v>34260</v>
      </c>
      <c r="E23" s="2" t="inlineStr">
        <is>
          <t>г</t>
        </is>
      </c>
      <c r="F23" s="4" t="n">
        <v>0</v>
      </c>
      <c r="G23" s="4" t="n">
        <v>0</v>
      </c>
    </row>
    <row r="24">
      <c r="C24" s="3" t="inlineStr">
        <is>
          <t>ИТОГО</t>
        </is>
      </c>
      <c r="F24" s="7" t="inlineStr">
        <is>
          <t>Цена: 12.0</t>
        </is>
      </c>
      <c r="G24" s="8" t="n">
        <v>120.23</v>
      </c>
    </row>
    <row r="25"/>
    <row r="26">
      <c r="A26" s="3" t="inlineStr">
        <is>
          <t>Реза Шурбо</t>
        </is>
      </c>
      <c r="B26" s="2" t="inlineStr">
        <is>
          <t>Супы</t>
        </is>
      </c>
      <c r="C26" s="2" t="inlineStr">
        <is>
          <t>ег</t>
        </is>
      </c>
      <c r="D26" s="2" t="n">
        <v>150</v>
      </c>
      <c r="E26" s="2" t="inlineStr">
        <is>
          <t>г</t>
        </is>
      </c>
      <c r="F26" s="4" t="n">
        <v>17</v>
      </c>
      <c r="G26" s="4" t="n">
        <v>2.55</v>
      </c>
    </row>
    <row r="27">
      <c r="A27" s="2" t="inlineStr">
        <is>
          <t>Реза Шурбо</t>
        </is>
      </c>
      <c r="B27" s="2" t="inlineStr"/>
      <c r="C27" s="2" t="inlineStr">
        <is>
          <t>пиез</t>
        </is>
      </c>
      <c r="D27" s="2" t="n">
        <v>200</v>
      </c>
      <c r="E27" s="2" t="inlineStr">
        <is>
          <t>г</t>
        </is>
      </c>
      <c r="F27" s="4" t="n">
        <v>10</v>
      </c>
      <c r="G27" s="4" t="n">
        <v>2</v>
      </c>
    </row>
    <row r="28">
      <c r="A28" s="2" t="inlineStr">
        <is>
          <t>Реза Шурбо</t>
        </is>
      </c>
      <c r="B28" s="2" t="inlineStr"/>
      <c r="C28" s="2" t="inlineStr">
        <is>
          <t>мясо</t>
        </is>
      </c>
      <c r="D28" s="2" t="n">
        <v>500</v>
      </c>
      <c r="E28" s="2" t="inlineStr">
        <is>
          <t>г</t>
        </is>
      </c>
      <c r="F28" s="4" t="n">
        <v>130</v>
      </c>
      <c r="G28" s="4" t="n">
        <v>65</v>
      </c>
    </row>
    <row r="29">
      <c r="A29" s="2" t="inlineStr">
        <is>
          <t>Реза Шурбо</t>
        </is>
      </c>
      <c r="B29" s="2" t="inlineStr"/>
      <c r="C29" s="2" t="inlineStr">
        <is>
          <t>сабзи</t>
        </is>
      </c>
      <c r="D29" s="2" t="n">
        <v>600</v>
      </c>
      <c r="E29" s="2" t="inlineStr">
        <is>
          <t>г</t>
        </is>
      </c>
      <c r="F29" s="4" t="n">
        <v>10</v>
      </c>
      <c r="G29" s="4" t="n">
        <v>6</v>
      </c>
    </row>
    <row r="30">
      <c r="A30" s="2" t="inlineStr">
        <is>
          <t>Реза Шурбо</t>
        </is>
      </c>
      <c r="B30" s="2" t="inlineStr"/>
      <c r="C30" s="2" t="inlineStr">
        <is>
          <t>картошка</t>
        </is>
      </c>
      <c r="D30" s="2" t="n">
        <v>1000</v>
      </c>
      <c r="E30" s="2" t="inlineStr">
        <is>
          <t>г</t>
        </is>
      </c>
      <c r="F30" s="4" t="n">
        <v>10</v>
      </c>
      <c r="G30" s="4" t="n">
        <v>10</v>
      </c>
    </row>
    <row r="31">
      <c r="A31" s="2" t="inlineStr">
        <is>
          <t>Реза Шурбо</t>
        </is>
      </c>
      <c r="B31" s="2" t="inlineStr"/>
      <c r="C31" s="2" t="inlineStr">
        <is>
          <t>балгар</t>
        </is>
      </c>
      <c r="D31" s="2" t="n">
        <v>450</v>
      </c>
      <c r="E31" s="2" t="inlineStr">
        <is>
          <t>г</t>
        </is>
      </c>
      <c r="F31" s="4" t="n">
        <v>53.6</v>
      </c>
      <c r="G31" s="4" t="n">
        <v>24.12</v>
      </c>
    </row>
    <row r="32">
      <c r="A32" s="2" t="inlineStr">
        <is>
          <t>Реза Шурбо</t>
        </is>
      </c>
      <c r="B32" s="2" t="inlineStr"/>
      <c r="C32" s="2" t="inlineStr">
        <is>
          <t>думба</t>
        </is>
      </c>
      <c r="D32" s="2" t="n">
        <v>150</v>
      </c>
      <c r="E32" s="2" t="inlineStr">
        <is>
          <t>г</t>
        </is>
      </c>
      <c r="F32" s="4" t="n">
        <v>100</v>
      </c>
      <c r="G32" s="4" t="n">
        <v>15</v>
      </c>
    </row>
    <row r="33">
      <c r="A33" s="2" t="inlineStr">
        <is>
          <t>Реза Шурбо</t>
        </is>
      </c>
      <c r="B33" s="2" t="inlineStr"/>
      <c r="C33" s="2" t="inlineStr">
        <is>
          <t>нухот</t>
        </is>
      </c>
      <c r="D33" s="2" t="n">
        <v>300</v>
      </c>
      <c r="E33" s="2" t="inlineStr">
        <is>
          <t>г</t>
        </is>
      </c>
      <c r="F33" s="4" t="n">
        <v>10</v>
      </c>
      <c r="G33" s="4" t="n">
        <v>3</v>
      </c>
    </row>
    <row r="34">
      <c r="A34" s="2" t="inlineStr">
        <is>
          <t>Реза Шурбо</t>
        </is>
      </c>
      <c r="B34" s="2" t="inlineStr"/>
      <c r="C34" s="2" t="inlineStr">
        <is>
          <t>специ</t>
        </is>
      </c>
      <c r="D34" s="2" t="n">
        <v>50</v>
      </c>
      <c r="E34" s="2" t="inlineStr">
        <is>
          <t>г</t>
        </is>
      </c>
      <c r="F34" s="4" t="n">
        <v>100</v>
      </c>
      <c r="G34" s="4" t="n">
        <v>5</v>
      </c>
    </row>
    <row r="35">
      <c r="A35" s="2" t="inlineStr">
        <is>
          <t>Реза Шурбо</t>
        </is>
      </c>
      <c r="B35" s="2" t="inlineStr"/>
      <c r="C35" s="2" t="inlineStr">
        <is>
          <t>сув</t>
        </is>
      </c>
      <c r="D35" s="2" t="n">
        <v>5000</v>
      </c>
      <c r="E35" s="2" t="inlineStr">
        <is>
          <t>г</t>
        </is>
      </c>
      <c r="F35" s="4" t="n">
        <v>0.4</v>
      </c>
      <c r="G35" s="4" t="n">
        <v>2</v>
      </c>
    </row>
    <row r="36">
      <c r="A36" s="2" t="inlineStr">
        <is>
          <t>Реза Шурбо</t>
        </is>
      </c>
      <c r="B36" s="2" t="inlineStr"/>
      <c r="C36" s="2" t="inlineStr">
        <is>
          <t>томат</t>
        </is>
      </c>
      <c r="D36" s="2" t="n">
        <v>390</v>
      </c>
      <c r="E36" s="2" t="inlineStr">
        <is>
          <t>г</t>
        </is>
      </c>
      <c r="F36" s="4" t="n">
        <v>25</v>
      </c>
      <c r="G36" s="4" t="n">
        <v>9.75</v>
      </c>
    </row>
    <row r="37">
      <c r="A37" s="2" t="inlineStr">
        <is>
          <t>Реза Шурбо</t>
        </is>
      </c>
      <c r="B37" s="2" t="inlineStr"/>
      <c r="C37" s="2" t="inlineStr">
        <is>
          <t>селдерей</t>
        </is>
      </c>
      <c r="D37" s="2" t="n">
        <v>25</v>
      </c>
      <c r="E37" s="2" t="inlineStr">
        <is>
          <t>г</t>
        </is>
      </c>
      <c r="F37" s="4" t="n">
        <v>100</v>
      </c>
      <c r="G37" s="4" t="n">
        <v>2.5</v>
      </c>
    </row>
    <row r="38">
      <c r="A38" s="2" t="inlineStr">
        <is>
          <t>Реза Шурбо</t>
        </is>
      </c>
      <c r="B38" s="2" t="inlineStr"/>
      <c r="C38" s="2" t="inlineStr">
        <is>
          <t>сметана</t>
        </is>
      </c>
      <c r="D38" s="2" t="n">
        <v>930</v>
      </c>
      <c r="E38" s="2" t="inlineStr">
        <is>
          <t>г</t>
        </is>
      </c>
      <c r="F38" s="4" t="n">
        <v>15</v>
      </c>
      <c r="G38" s="4" t="n">
        <v>13.95</v>
      </c>
    </row>
    <row r="39">
      <c r="A39" s="2" t="inlineStr">
        <is>
          <t>Реза Шурбо</t>
        </is>
      </c>
      <c r="B39" s="2" t="inlineStr"/>
      <c r="C39" s="2" t="inlineStr">
        <is>
          <t>порция</t>
        </is>
      </c>
      <c r="D39" s="2" t="n">
        <v>310</v>
      </c>
      <c r="E39" s="2" t="inlineStr">
        <is>
          <t>г</t>
        </is>
      </c>
      <c r="F39" s="4" t="n">
        <v>0</v>
      </c>
      <c r="G39" s="4" t="n">
        <v>0</v>
      </c>
    </row>
    <row r="40">
      <c r="A40" s="2" t="inlineStr">
        <is>
          <t>Реза Шурбо</t>
        </is>
      </c>
      <c r="B40" s="2" t="inlineStr"/>
      <c r="C40" s="2" t="inlineStr">
        <is>
          <t>вых</t>
        </is>
      </c>
      <c r="D40" s="2" t="n">
        <v>31435.5</v>
      </c>
      <c r="E40" s="2" t="inlineStr">
        <is>
          <t>г</t>
        </is>
      </c>
      <c r="F40" s="4" t="n">
        <v>0</v>
      </c>
      <c r="G40" s="4" t="n">
        <v>0</v>
      </c>
    </row>
    <row r="41">
      <c r="C41" s="3" t="inlineStr">
        <is>
          <t>ИТОГО</t>
        </is>
      </c>
      <c r="F41" s="7" t="inlineStr">
        <is>
          <t>Цена: 16.0</t>
        </is>
      </c>
      <c r="G41" s="8" t="n">
        <v>160.87</v>
      </c>
    </row>
    <row r="42"/>
    <row r="43">
      <c r="A43" s="3" t="inlineStr">
        <is>
          <t>Лагман</t>
        </is>
      </c>
      <c r="B43" s="2" t="inlineStr">
        <is>
          <t>Супы</t>
        </is>
      </c>
      <c r="C43" s="2" t="inlineStr">
        <is>
          <t>ег</t>
        </is>
      </c>
      <c r="D43" s="2" t="n">
        <v>200</v>
      </c>
      <c r="E43" s="2" t="inlineStr">
        <is>
          <t>г</t>
        </is>
      </c>
      <c r="F43" s="4" t="n">
        <v>17</v>
      </c>
      <c r="G43" s="4" t="n">
        <v>3.4</v>
      </c>
    </row>
    <row r="44">
      <c r="A44" s="2" t="inlineStr">
        <is>
          <t>Лагман</t>
        </is>
      </c>
      <c r="B44" s="2" t="inlineStr"/>
      <c r="C44" s="2" t="inlineStr">
        <is>
          <t>пиез</t>
        </is>
      </c>
      <c r="D44" s="2" t="n">
        <v>250</v>
      </c>
      <c r="E44" s="2" t="inlineStr">
        <is>
          <t>г</t>
        </is>
      </c>
      <c r="F44" s="4" t="n">
        <v>10</v>
      </c>
      <c r="G44" s="4" t="n">
        <v>2.5</v>
      </c>
    </row>
    <row r="45">
      <c r="A45" s="2" t="inlineStr">
        <is>
          <t>Лагман</t>
        </is>
      </c>
      <c r="B45" s="2" t="inlineStr"/>
      <c r="C45" s="2" t="inlineStr">
        <is>
          <t>мясо</t>
        </is>
      </c>
      <c r="D45" s="2" t="n">
        <v>1000</v>
      </c>
      <c r="E45" s="2" t="inlineStr">
        <is>
          <t>г</t>
        </is>
      </c>
      <c r="F45" s="4" t="n">
        <v>130</v>
      </c>
      <c r="G45" s="4" t="n">
        <v>130</v>
      </c>
    </row>
    <row r="46">
      <c r="A46" s="2" t="inlineStr">
        <is>
          <t>Лагман</t>
        </is>
      </c>
      <c r="B46" s="2" t="inlineStr"/>
      <c r="C46" s="2" t="inlineStr">
        <is>
          <t>селдерей</t>
        </is>
      </c>
      <c r="D46" s="2" t="n">
        <v>450</v>
      </c>
      <c r="E46" s="2" t="inlineStr">
        <is>
          <t>г</t>
        </is>
      </c>
      <c r="F46" s="4" t="n">
        <v>30</v>
      </c>
      <c r="G46" s="4" t="n">
        <v>13.5</v>
      </c>
    </row>
    <row r="47">
      <c r="A47" s="2" t="inlineStr">
        <is>
          <t>Лагман</t>
        </is>
      </c>
      <c r="B47" s="2" t="inlineStr"/>
      <c r="C47" s="2" t="inlineStr">
        <is>
          <t>кабачки</t>
        </is>
      </c>
      <c r="D47" s="2" t="n">
        <v>400</v>
      </c>
      <c r="E47" s="2" t="inlineStr">
        <is>
          <t>г</t>
        </is>
      </c>
      <c r="F47" s="4" t="n">
        <v>35</v>
      </c>
      <c r="G47" s="4" t="n">
        <v>14</v>
      </c>
    </row>
    <row r="48">
      <c r="A48" s="2" t="inlineStr">
        <is>
          <t>Лагман</t>
        </is>
      </c>
      <c r="B48" s="2" t="inlineStr"/>
      <c r="C48" s="2" t="inlineStr">
        <is>
          <t>балгар</t>
        </is>
      </c>
      <c r="D48" s="2" t="n">
        <v>900</v>
      </c>
      <c r="E48" s="2" t="inlineStr">
        <is>
          <t>г</t>
        </is>
      </c>
      <c r="F48" s="4" t="n">
        <v>53.6</v>
      </c>
      <c r="G48" s="4" t="n">
        <v>48.24</v>
      </c>
    </row>
    <row r="49">
      <c r="A49" s="2" t="inlineStr">
        <is>
          <t>Лагман</t>
        </is>
      </c>
      <c r="B49" s="2" t="inlineStr"/>
      <c r="C49" s="2" t="inlineStr">
        <is>
          <t>пекинка</t>
        </is>
      </c>
      <c r="D49" s="2" t="n">
        <v>900</v>
      </c>
      <c r="E49" s="2" t="inlineStr">
        <is>
          <t>г</t>
        </is>
      </c>
      <c r="F49" s="4" t="n">
        <v>10</v>
      </c>
      <c r="G49" s="4" t="n">
        <v>9</v>
      </c>
    </row>
    <row r="50">
      <c r="A50" s="2" t="inlineStr">
        <is>
          <t>Лагман</t>
        </is>
      </c>
      <c r="B50" s="2" t="inlineStr"/>
      <c r="C50" s="2" t="inlineStr">
        <is>
          <t>томат</t>
        </is>
      </c>
      <c r="D50" s="2" t="n">
        <v>1000</v>
      </c>
      <c r="E50" s="2" t="inlineStr">
        <is>
          <t>г</t>
        </is>
      </c>
      <c r="F50" s="4" t="n">
        <v>25</v>
      </c>
      <c r="G50" s="4" t="n">
        <v>25</v>
      </c>
    </row>
    <row r="51">
      <c r="A51" s="2" t="inlineStr">
        <is>
          <t>Лагман</t>
        </is>
      </c>
      <c r="B51" s="2" t="inlineStr"/>
      <c r="C51" s="2" t="inlineStr">
        <is>
          <t>специ</t>
        </is>
      </c>
      <c r="D51" s="2" t="n">
        <v>50</v>
      </c>
      <c r="E51" s="2" t="inlineStr">
        <is>
          <t>г</t>
        </is>
      </c>
      <c r="F51" s="4" t="n">
        <v>100</v>
      </c>
      <c r="G51" s="4" t="n">
        <v>5</v>
      </c>
    </row>
    <row r="52">
      <c r="A52" s="2" t="inlineStr">
        <is>
          <t>Лагман</t>
        </is>
      </c>
      <c r="B52" s="2" t="inlineStr"/>
      <c r="C52" s="2" t="inlineStr">
        <is>
          <t>сув</t>
        </is>
      </c>
      <c r="D52" s="2" t="n">
        <v>3000</v>
      </c>
      <c r="E52" s="2" t="inlineStr">
        <is>
          <t>г</t>
        </is>
      </c>
      <c r="F52" s="4" t="n">
        <v>0.4</v>
      </c>
      <c r="G52" s="4" t="n">
        <v>1.2</v>
      </c>
    </row>
    <row r="53">
      <c r="A53" s="2" t="inlineStr">
        <is>
          <t>Лагман</t>
        </is>
      </c>
      <c r="B53" s="2" t="inlineStr"/>
      <c r="C53" s="2" t="inlineStr">
        <is>
          <t>калампир</t>
        </is>
      </c>
      <c r="D53" s="2" t="n">
        <v>20</v>
      </c>
      <c r="E53" s="2" t="inlineStr">
        <is>
          <t>г</t>
        </is>
      </c>
      <c r="F53" s="4" t="n">
        <v>100</v>
      </c>
      <c r="G53" s="4" t="n">
        <v>2</v>
      </c>
    </row>
    <row r="54">
      <c r="A54" s="2" t="inlineStr">
        <is>
          <t>Лагман</t>
        </is>
      </c>
      <c r="B54" s="2" t="inlineStr"/>
      <c r="C54" s="2" t="inlineStr">
        <is>
          <t>соевый</t>
        </is>
      </c>
      <c r="D54" s="2" t="n">
        <v>50</v>
      </c>
      <c r="E54" s="2" t="inlineStr">
        <is>
          <t>г</t>
        </is>
      </c>
      <c r="F54" s="4" t="n">
        <v>26</v>
      </c>
      <c r="G54" s="4" t="n">
        <v>1.3</v>
      </c>
    </row>
    <row r="55">
      <c r="A55" s="2" t="inlineStr">
        <is>
          <t>Лагман</t>
        </is>
      </c>
      <c r="B55" s="2" t="inlineStr"/>
      <c r="C55" s="2" t="inlineStr">
        <is>
          <t>хамир</t>
        </is>
      </c>
      <c r="D55" s="2" t="n">
        <v>3500</v>
      </c>
      <c r="E55" s="2" t="inlineStr">
        <is>
          <t>г</t>
        </is>
      </c>
      <c r="F55" s="4" t="n">
        <v>10</v>
      </c>
      <c r="G55" s="4" t="n">
        <v>35</v>
      </c>
    </row>
    <row r="56">
      <c r="A56" s="2" t="inlineStr">
        <is>
          <t>Лагман</t>
        </is>
      </c>
      <c r="B56" s="2" t="inlineStr"/>
      <c r="C56" s="2" t="inlineStr">
        <is>
          <t>порция</t>
        </is>
      </c>
      <c r="D56" s="2" t="n">
        <v>430</v>
      </c>
      <c r="E56" s="2" t="inlineStr">
        <is>
          <t>г</t>
        </is>
      </c>
      <c r="F56" s="4" t="n">
        <v>0</v>
      </c>
      <c r="G56" s="4" t="n">
        <v>0</v>
      </c>
    </row>
    <row r="57">
      <c r="A57" s="2" t="inlineStr">
        <is>
          <t>Лагман</t>
        </is>
      </c>
      <c r="B57" s="2" t="inlineStr"/>
      <c r="C57" s="2" t="inlineStr">
        <is>
          <t>вых</t>
        </is>
      </c>
      <c r="D57" s="2" t="n">
        <v>27255.8</v>
      </c>
      <c r="E57" s="2" t="inlineStr">
        <is>
          <t>г</t>
        </is>
      </c>
      <c r="F57" s="4" t="n">
        <v>0</v>
      </c>
      <c r="G57" s="4" t="n">
        <v>0</v>
      </c>
    </row>
    <row r="58">
      <c r="C58" s="3" t="inlineStr">
        <is>
          <t>ИТОГО</t>
        </is>
      </c>
      <c r="F58" s="7" t="inlineStr">
        <is>
          <t>Цена: 25.0</t>
        </is>
      </c>
      <c r="G58" s="8" t="n">
        <v>290.14</v>
      </c>
    </row>
    <row r="59"/>
    <row r="60">
      <c r="A60" s="3" t="inlineStr">
        <is>
          <t>Хом Шурво</t>
        </is>
      </c>
      <c r="B60" s="2" t="inlineStr">
        <is>
          <t>Супы</t>
        </is>
      </c>
      <c r="C60" s="2" t="inlineStr">
        <is>
          <t>сарег</t>
        </is>
      </c>
      <c r="D60" s="2" t="n">
        <v>200</v>
      </c>
      <c r="E60" s="2" t="inlineStr">
        <is>
          <t>г</t>
        </is>
      </c>
      <c r="F60" s="4" t="n">
        <v>40</v>
      </c>
      <c r="G60" s="4" t="n">
        <v>8</v>
      </c>
    </row>
    <row r="61">
      <c r="A61" s="2" t="inlineStr">
        <is>
          <t>Хом Шурво</t>
        </is>
      </c>
      <c r="B61" s="2" t="inlineStr"/>
      <c r="C61" s="2" t="inlineStr">
        <is>
          <t>пиез</t>
        </is>
      </c>
      <c r="D61" s="2" t="n">
        <v>1000</v>
      </c>
      <c r="E61" s="2" t="inlineStr">
        <is>
          <t>г</t>
        </is>
      </c>
      <c r="F61" s="4" t="n">
        <v>10</v>
      </c>
      <c r="G61" s="4" t="n">
        <v>10</v>
      </c>
    </row>
    <row r="62">
      <c r="A62" s="2" t="inlineStr">
        <is>
          <t>Хом Шурво</t>
        </is>
      </c>
      <c r="B62" s="2" t="inlineStr"/>
      <c r="C62" s="2" t="inlineStr">
        <is>
          <t>мясо</t>
        </is>
      </c>
      <c r="D62" s="2" t="n">
        <v>1200</v>
      </c>
      <c r="E62" s="2" t="inlineStr">
        <is>
          <t>г</t>
        </is>
      </c>
      <c r="F62" s="4" t="n">
        <v>130</v>
      </c>
      <c r="G62" s="4" t="n">
        <v>156</v>
      </c>
    </row>
    <row r="63">
      <c r="A63" s="2" t="inlineStr">
        <is>
          <t>Хом Шурво</t>
        </is>
      </c>
      <c r="B63" s="2" t="inlineStr"/>
      <c r="C63" s="2" t="inlineStr">
        <is>
          <t>сабзи</t>
        </is>
      </c>
      <c r="D63" s="2" t="n">
        <v>800</v>
      </c>
      <c r="E63" s="2" t="inlineStr">
        <is>
          <t>г</t>
        </is>
      </c>
      <c r="F63" s="4" t="n">
        <v>10</v>
      </c>
      <c r="G63" s="4" t="n">
        <v>8</v>
      </c>
    </row>
    <row r="64">
      <c r="A64" s="2" t="inlineStr">
        <is>
          <t>Хом Шурво</t>
        </is>
      </c>
      <c r="B64" s="2" t="inlineStr"/>
      <c r="C64" s="2" t="inlineStr">
        <is>
          <t>картошка</t>
        </is>
      </c>
      <c r="D64" s="2" t="n">
        <v>1500</v>
      </c>
      <c r="E64" s="2" t="inlineStr">
        <is>
          <t>г</t>
        </is>
      </c>
      <c r="F64" s="4" t="n">
        <v>10</v>
      </c>
      <c r="G64" s="4" t="n">
        <v>15</v>
      </c>
    </row>
    <row r="65">
      <c r="A65" s="2" t="inlineStr">
        <is>
          <t>Хом Шурво</t>
        </is>
      </c>
      <c r="B65" s="2" t="inlineStr"/>
      <c r="C65" s="2" t="inlineStr">
        <is>
          <t>балгар</t>
        </is>
      </c>
      <c r="D65" s="2" t="n">
        <v>600</v>
      </c>
      <c r="E65" s="2" t="inlineStr">
        <is>
          <t>г</t>
        </is>
      </c>
      <c r="F65" s="4" t="n">
        <v>53.6</v>
      </c>
      <c r="G65" s="4" t="n">
        <v>32.16</v>
      </c>
    </row>
    <row r="66">
      <c r="A66" s="2" t="inlineStr">
        <is>
          <t>Хом Шурво</t>
        </is>
      </c>
      <c r="B66" s="2" t="inlineStr"/>
      <c r="C66" s="2" t="inlineStr">
        <is>
          <t>нухот</t>
        </is>
      </c>
      <c r="D66" s="2" t="n">
        <v>300</v>
      </c>
      <c r="E66" s="2" t="inlineStr">
        <is>
          <t>г</t>
        </is>
      </c>
      <c r="F66" s="4" t="n">
        <v>10</v>
      </c>
      <c r="G66" s="4" t="n">
        <v>3</v>
      </c>
    </row>
    <row r="67">
      <c r="A67" s="2" t="inlineStr">
        <is>
          <t>Хом Шурво</t>
        </is>
      </c>
      <c r="B67" s="2" t="inlineStr"/>
      <c r="C67" s="2" t="inlineStr">
        <is>
          <t>думба</t>
        </is>
      </c>
      <c r="D67" s="2" t="n">
        <v>200</v>
      </c>
      <c r="E67" s="2" t="inlineStr">
        <is>
          <t>г</t>
        </is>
      </c>
      <c r="F67" s="4" t="n">
        <v>100</v>
      </c>
      <c r="G67" s="4" t="n">
        <v>20</v>
      </c>
    </row>
    <row r="68">
      <c r="A68" s="2" t="inlineStr">
        <is>
          <t>Хом Шурво</t>
        </is>
      </c>
      <c r="B68" s="2" t="inlineStr"/>
      <c r="C68" s="2" t="inlineStr">
        <is>
          <t>специ</t>
        </is>
      </c>
      <c r="D68" s="2" t="n">
        <v>100</v>
      </c>
      <c r="E68" s="2" t="inlineStr">
        <is>
          <t>г</t>
        </is>
      </c>
      <c r="F68" s="4" t="n">
        <v>100</v>
      </c>
      <c r="G68" s="4" t="n">
        <v>10</v>
      </c>
    </row>
    <row r="69">
      <c r="A69" s="2" t="inlineStr">
        <is>
          <t>Хом Шурво</t>
        </is>
      </c>
      <c r="B69" s="2" t="inlineStr"/>
      <c r="C69" s="2" t="inlineStr">
        <is>
          <t>сув</t>
        </is>
      </c>
      <c r="D69" s="2" t="n">
        <v>5000</v>
      </c>
      <c r="E69" s="2" t="inlineStr">
        <is>
          <t>г</t>
        </is>
      </c>
      <c r="F69" s="4" t="n">
        <v>0.4</v>
      </c>
      <c r="G69" s="4" t="n">
        <v>2</v>
      </c>
    </row>
    <row r="70">
      <c r="A70" s="2" t="inlineStr">
        <is>
          <t>Хом Шурво</t>
        </is>
      </c>
      <c r="B70" s="2" t="inlineStr"/>
      <c r="C70" s="2" t="inlineStr">
        <is>
          <t>помидор</t>
        </is>
      </c>
      <c r="D70" s="2" t="n">
        <v>400</v>
      </c>
      <c r="E70" s="2" t="inlineStr">
        <is>
          <t>г</t>
        </is>
      </c>
      <c r="F70" s="4" t="n">
        <v>30</v>
      </c>
      <c r="G70" s="4" t="n">
        <v>12</v>
      </c>
    </row>
    <row r="71">
      <c r="A71" s="2" t="inlineStr">
        <is>
          <t>Хом Шурво</t>
        </is>
      </c>
      <c r="B71" s="2" t="inlineStr"/>
      <c r="C71" s="2" t="inlineStr">
        <is>
          <t>зелень</t>
        </is>
      </c>
      <c r="D71" s="2" t="n">
        <v>60</v>
      </c>
      <c r="E71" s="2" t="inlineStr">
        <is>
          <t>г</t>
        </is>
      </c>
      <c r="F71" s="4" t="n">
        <v>50</v>
      </c>
      <c r="G71" s="4" t="n">
        <v>3</v>
      </c>
    </row>
    <row r="72">
      <c r="A72" s="2" t="inlineStr">
        <is>
          <t>Хом Шурво</t>
        </is>
      </c>
      <c r="B72" s="2" t="inlineStr"/>
      <c r="C72" s="2" t="inlineStr">
        <is>
          <t>порция</t>
        </is>
      </c>
      <c r="D72" s="2" t="n">
        <v>700</v>
      </c>
      <c r="E72" s="2" t="inlineStr">
        <is>
          <t>г</t>
        </is>
      </c>
      <c r="F72" s="4" t="n">
        <v>0</v>
      </c>
      <c r="G72" s="4" t="n">
        <v>0</v>
      </c>
    </row>
    <row r="73">
      <c r="A73" s="2" t="inlineStr">
        <is>
          <t>Хом Шурво</t>
        </is>
      </c>
      <c r="B73" s="2" t="inlineStr"/>
      <c r="C73" s="2" t="inlineStr">
        <is>
          <t>вых</t>
        </is>
      </c>
      <c r="D73" s="2" t="n">
        <v>16228.6</v>
      </c>
      <c r="E73" s="2" t="inlineStr">
        <is>
          <t>г</t>
        </is>
      </c>
      <c r="F73" s="4" t="n">
        <v>0</v>
      </c>
      <c r="G73" s="4" t="n">
        <v>0</v>
      </c>
    </row>
    <row r="74">
      <c r="C74" s="3" t="inlineStr">
        <is>
          <t>ИТОГО</t>
        </is>
      </c>
      <c r="F74" s="7" t="inlineStr">
        <is>
          <t>Цена: 20.0</t>
        </is>
      </c>
      <c r="G74" s="8" t="n">
        <v>279.16</v>
      </c>
    </row>
    <row r="75"/>
    <row r="76">
      <c r="A76" s="3" t="inlineStr">
        <is>
          <t>3В1</t>
        </is>
      </c>
      <c r="B76" s="2" t="inlineStr">
        <is>
          <t>Супы</t>
        </is>
      </c>
      <c r="C76" s="2" t="inlineStr">
        <is>
          <t>ег</t>
        </is>
      </c>
      <c r="D76" s="2" t="n">
        <v>200</v>
      </c>
      <c r="E76" s="2" t="inlineStr">
        <is>
          <t>г</t>
        </is>
      </c>
      <c r="F76" s="4" t="n">
        <v>17</v>
      </c>
      <c r="G76" s="4" t="n">
        <v>3.4</v>
      </c>
    </row>
    <row r="77">
      <c r="A77" s="2" t="inlineStr">
        <is>
          <t>3В1</t>
        </is>
      </c>
      <c r="B77" s="2" t="inlineStr"/>
      <c r="C77" s="2" t="inlineStr">
        <is>
          <t>пиез</t>
        </is>
      </c>
      <c r="D77" s="2" t="n">
        <v>350</v>
      </c>
      <c r="E77" s="2" t="inlineStr">
        <is>
          <t>г</t>
        </is>
      </c>
      <c r="F77" s="4" t="n">
        <v>10</v>
      </c>
      <c r="G77" s="4" t="n">
        <v>3.5</v>
      </c>
    </row>
    <row r="78">
      <c r="A78" s="2" t="inlineStr">
        <is>
          <t>3В1</t>
        </is>
      </c>
      <c r="B78" s="2" t="inlineStr"/>
      <c r="C78" s="2" t="inlineStr">
        <is>
          <t>мясо</t>
        </is>
      </c>
      <c r="D78" s="2" t="n">
        <v>600</v>
      </c>
      <c r="E78" s="2" t="inlineStr">
        <is>
          <t>г</t>
        </is>
      </c>
      <c r="F78" s="4" t="n">
        <v>130</v>
      </c>
      <c r="G78" s="4" t="n">
        <v>78</v>
      </c>
    </row>
    <row r="79">
      <c r="A79" s="2" t="inlineStr">
        <is>
          <t>3В1</t>
        </is>
      </c>
      <c r="B79" s="2" t="inlineStr"/>
      <c r="C79" s="2" t="inlineStr">
        <is>
          <t>костичка</t>
        </is>
      </c>
      <c r="D79" s="2" t="n">
        <v>450</v>
      </c>
      <c r="E79" s="2" t="inlineStr">
        <is>
          <t>г</t>
        </is>
      </c>
      <c r="F79" s="4" t="n">
        <v>100</v>
      </c>
      <c r="G79" s="4" t="n">
        <v>45</v>
      </c>
    </row>
    <row r="80">
      <c r="A80" s="2" t="inlineStr">
        <is>
          <t>3В1</t>
        </is>
      </c>
      <c r="B80" s="2" t="inlineStr"/>
      <c r="C80" s="2" t="inlineStr">
        <is>
          <t>картошка</t>
        </is>
      </c>
      <c r="D80" s="2" t="n">
        <v>1000</v>
      </c>
      <c r="E80" s="2" t="inlineStr">
        <is>
          <t>г</t>
        </is>
      </c>
      <c r="F80" s="4" t="n">
        <v>10</v>
      </c>
      <c r="G80" s="4" t="n">
        <v>10</v>
      </c>
    </row>
    <row r="81">
      <c r="A81" s="2" t="inlineStr">
        <is>
          <t>3В1</t>
        </is>
      </c>
      <c r="B81" s="2" t="inlineStr"/>
      <c r="C81" s="2" t="inlineStr">
        <is>
          <t>балгар</t>
        </is>
      </c>
      <c r="D81" s="2" t="n">
        <v>500</v>
      </c>
      <c r="E81" s="2" t="inlineStr">
        <is>
          <t>г</t>
        </is>
      </c>
      <c r="F81" s="4" t="n">
        <v>53.6</v>
      </c>
      <c r="G81" s="4" t="n">
        <v>26.8</v>
      </c>
    </row>
    <row r="82">
      <c r="A82" s="2" t="inlineStr">
        <is>
          <t>3В1</t>
        </is>
      </c>
      <c r="B82" s="2" t="inlineStr"/>
      <c r="C82" s="2" t="inlineStr">
        <is>
          <t>сабзи</t>
        </is>
      </c>
      <c r="D82" s="2" t="n">
        <v>1000</v>
      </c>
      <c r="E82" s="2" t="inlineStr">
        <is>
          <t>г</t>
        </is>
      </c>
      <c r="F82" s="4" t="n">
        <v>10</v>
      </c>
      <c r="G82" s="4" t="n">
        <v>10</v>
      </c>
    </row>
    <row r="83">
      <c r="A83" s="2" t="inlineStr">
        <is>
          <t>3В1</t>
        </is>
      </c>
      <c r="B83" s="2" t="inlineStr"/>
      <c r="C83" s="2" t="inlineStr">
        <is>
          <t>томат</t>
        </is>
      </c>
      <c r="D83" s="2" t="n">
        <v>1000</v>
      </c>
      <c r="E83" s="2" t="inlineStr">
        <is>
          <t>г</t>
        </is>
      </c>
      <c r="F83" s="4" t="n">
        <v>25</v>
      </c>
      <c r="G83" s="4" t="n">
        <v>25</v>
      </c>
    </row>
    <row r="84">
      <c r="A84" s="2" t="inlineStr">
        <is>
          <t>3В1</t>
        </is>
      </c>
      <c r="B84" s="2" t="inlineStr"/>
      <c r="C84" s="2" t="inlineStr">
        <is>
          <t>специ</t>
        </is>
      </c>
      <c r="D84" s="2" t="n">
        <v>50</v>
      </c>
      <c r="E84" s="2" t="inlineStr">
        <is>
          <t>г</t>
        </is>
      </c>
      <c r="F84" s="4" t="n">
        <v>100</v>
      </c>
      <c r="G84" s="4" t="n">
        <v>5</v>
      </c>
    </row>
    <row r="85">
      <c r="A85" s="2" t="inlineStr">
        <is>
          <t>3В1</t>
        </is>
      </c>
      <c r="B85" s="2" t="inlineStr"/>
      <c r="C85" s="2" t="inlineStr">
        <is>
          <t>сув</t>
        </is>
      </c>
      <c r="D85" s="2" t="n">
        <v>5000</v>
      </c>
      <c r="E85" s="2" t="inlineStr">
        <is>
          <t>г</t>
        </is>
      </c>
      <c r="F85" s="4" t="n">
        <v>0.4</v>
      </c>
      <c r="G85" s="4" t="n">
        <v>2</v>
      </c>
    </row>
    <row r="86">
      <c r="A86" s="2" t="inlineStr">
        <is>
          <t>3В1</t>
        </is>
      </c>
      <c r="B86" s="2" t="inlineStr"/>
      <c r="C86" s="2" t="inlineStr">
        <is>
          <t>порция</t>
        </is>
      </c>
      <c r="D86" s="2" t="n">
        <v>200</v>
      </c>
      <c r="E86" s="2" t="inlineStr">
        <is>
          <t>г</t>
        </is>
      </c>
      <c r="F86" s="4" t="n">
        <v>0</v>
      </c>
      <c r="G86" s="4" t="n">
        <v>0</v>
      </c>
    </row>
    <row r="87">
      <c r="A87" s="2" t="inlineStr">
        <is>
          <t>3В1</t>
        </is>
      </c>
      <c r="B87" s="2" t="inlineStr"/>
      <c r="C87" s="2" t="inlineStr">
        <is>
          <t>вых</t>
        </is>
      </c>
      <c r="D87" s="2" t="n">
        <v>50750</v>
      </c>
      <c r="E87" s="2" t="inlineStr">
        <is>
          <t>г</t>
        </is>
      </c>
      <c r="F87" s="4" t="n">
        <v>0</v>
      </c>
      <c r="G87" s="4" t="n">
        <v>0</v>
      </c>
    </row>
    <row r="88">
      <c r="C88" s="3" t="inlineStr">
        <is>
          <t>ИТОГО</t>
        </is>
      </c>
      <c r="G88" s="8" t="n">
        <v>208.7</v>
      </c>
    </row>
    <row r="89"/>
    <row r="90">
      <c r="A90" s="3" t="inlineStr">
        <is>
          <t>Жавари</t>
        </is>
      </c>
      <c r="B90" s="2" t="inlineStr">
        <is>
          <t>Супы</t>
        </is>
      </c>
      <c r="C90" s="2" t="inlineStr">
        <is>
          <t>3в1</t>
        </is>
      </c>
      <c r="D90" s="2" t="n">
        <v>10000</v>
      </c>
      <c r="E90" s="2" t="inlineStr">
        <is>
          <t>г</t>
        </is>
      </c>
      <c r="F90" s="4" t="n">
        <v>21</v>
      </c>
      <c r="G90" s="4" t="n">
        <v>210</v>
      </c>
    </row>
    <row r="91">
      <c r="A91" s="2" t="inlineStr">
        <is>
          <t>Жавари</t>
        </is>
      </c>
      <c r="B91" s="2" t="inlineStr"/>
      <c r="C91" s="2" t="inlineStr">
        <is>
          <t>жавари</t>
        </is>
      </c>
      <c r="D91" s="2" t="n">
        <v>500</v>
      </c>
      <c r="E91" s="2" t="inlineStr">
        <is>
          <t>г</t>
        </is>
      </c>
      <c r="F91" s="4" t="n">
        <v>15</v>
      </c>
      <c r="G91" s="4" t="n">
        <v>7.5</v>
      </c>
    </row>
    <row r="92">
      <c r="A92" s="2" t="inlineStr">
        <is>
          <t>Жавари</t>
        </is>
      </c>
      <c r="B92" s="2" t="inlineStr"/>
      <c r="C92" s="2" t="inlineStr">
        <is>
          <t>мош</t>
        </is>
      </c>
      <c r="D92" s="2" t="n">
        <v>250</v>
      </c>
      <c r="E92" s="2" t="inlineStr">
        <is>
          <t>г</t>
        </is>
      </c>
      <c r="F92" s="4" t="n">
        <v>15</v>
      </c>
      <c r="G92" s="4" t="n">
        <v>3.75</v>
      </c>
    </row>
    <row r="93">
      <c r="A93" s="2" t="inlineStr">
        <is>
          <t>Жавари</t>
        </is>
      </c>
      <c r="B93" s="2" t="inlineStr"/>
      <c r="C93" s="2" t="inlineStr">
        <is>
          <t>любе</t>
        </is>
      </c>
      <c r="D93" s="2" t="n">
        <v>250</v>
      </c>
      <c r="E93" s="2" t="inlineStr">
        <is>
          <t>г</t>
        </is>
      </c>
      <c r="F93" s="4" t="n">
        <v>15</v>
      </c>
      <c r="G93" s="4" t="n">
        <v>3.75</v>
      </c>
    </row>
    <row r="94">
      <c r="A94" s="2" t="inlineStr">
        <is>
          <t>Жавари</t>
        </is>
      </c>
      <c r="B94" s="2" t="inlineStr"/>
      <c r="C94" s="2" t="inlineStr">
        <is>
          <t>сув</t>
        </is>
      </c>
      <c r="D94" s="2" t="n">
        <v>3000</v>
      </c>
      <c r="E94" s="2" t="inlineStr">
        <is>
          <t>г</t>
        </is>
      </c>
      <c r="F94" s="4" t="n">
        <v>0.4</v>
      </c>
      <c r="G94" s="4" t="n">
        <v>1.2</v>
      </c>
    </row>
    <row r="95">
      <c r="A95" s="2" t="inlineStr">
        <is>
          <t>Жавари</t>
        </is>
      </c>
      <c r="B95" s="2" t="inlineStr"/>
      <c r="C95" s="2" t="inlineStr">
        <is>
          <t>катик</t>
        </is>
      </c>
      <c r="D95" s="2" t="n">
        <v>1500</v>
      </c>
      <c r="E95" s="2" t="inlineStr">
        <is>
          <t>г</t>
        </is>
      </c>
      <c r="F95" s="4" t="n">
        <v>10</v>
      </c>
      <c r="G95" s="4" t="n">
        <v>15</v>
      </c>
    </row>
    <row r="96">
      <c r="A96" s="2" t="inlineStr">
        <is>
          <t>Жавари</t>
        </is>
      </c>
      <c r="B96" s="2" t="inlineStr"/>
      <c r="C96" s="2" t="inlineStr">
        <is>
          <t>зелень</t>
        </is>
      </c>
      <c r="D96" s="2" t="n">
        <v>200</v>
      </c>
      <c r="E96" s="2" t="inlineStr">
        <is>
          <t>г</t>
        </is>
      </c>
      <c r="F96" s="4" t="n">
        <v>50</v>
      </c>
      <c r="G96" s="4" t="n">
        <v>10</v>
      </c>
    </row>
    <row r="97">
      <c r="A97" s="2" t="inlineStr">
        <is>
          <t>Жавари</t>
        </is>
      </c>
      <c r="B97" s="2" t="inlineStr"/>
      <c r="C97" s="2" t="inlineStr">
        <is>
          <t>порция</t>
        </is>
      </c>
      <c r="D97" s="2" t="n">
        <v>310</v>
      </c>
      <c r="E97" s="2" t="inlineStr">
        <is>
          <t>г</t>
        </is>
      </c>
      <c r="F97" s="4" t="n">
        <v>0</v>
      </c>
      <c r="G97" s="4" t="n">
        <v>0</v>
      </c>
    </row>
    <row r="98">
      <c r="A98" s="2" t="inlineStr">
        <is>
          <t>Жавари</t>
        </is>
      </c>
      <c r="B98" s="2" t="inlineStr"/>
      <c r="C98" s="2" t="inlineStr">
        <is>
          <t>вых</t>
        </is>
      </c>
      <c r="D98" s="2" t="n">
        <v>50645.2</v>
      </c>
      <c r="E98" s="2" t="inlineStr">
        <is>
          <t>г</t>
        </is>
      </c>
      <c r="F98" s="4" t="n">
        <v>0</v>
      </c>
      <c r="G98" s="4" t="n">
        <v>0</v>
      </c>
    </row>
    <row r="99">
      <c r="C99" s="3" t="inlineStr">
        <is>
          <t>ИТОГО</t>
        </is>
      </c>
      <c r="F99" s="7" t="inlineStr">
        <is>
          <t>Цена: 14.0</t>
        </is>
      </c>
      <c r="G99" s="8" t="n">
        <v>251.2</v>
      </c>
    </row>
    <row r="100"/>
    <row r="101">
      <c r="A101" s="3" t="inlineStr">
        <is>
          <t>Мастова Домашный</t>
        </is>
      </c>
      <c r="B101" s="2" t="inlineStr">
        <is>
          <t>Супы</t>
        </is>
      </c>
      <c r="C101" s="2" t="inlineStr">
        <is>
          <t>3в1</t>
        </is>
      </c>
      <c r="D101" s="2" t="n">
        <v>200</v>
      </c>
      <c r="E101" s="2" t="inlineStr">
        <is>
          <t>г</t>
        </is>
      </c>
      <c r="F101" s="4" t="n">
        <v>21</v>
      </c>
      <c r="G101" s="4" t="n">
        <v>4.2</v>
      </c>
    </row>
    <row r="102">
      <c r="A102" s="2" t="inlineStr">
        <is>
          <t>Мастова Домашный</t>
        </is>
      </c>
      <c r="B102" s="2" t="inlineStr"/>
      <c r="C102" s="2" t="inlineStr">
        <is>
          <t>гурунч</t>
        </is>
      </c>
      <c r="D102" s="2" t="n">
        <v>40</v>
      </c>
      <c r="E102" s="2" t="inlineStr">
        <is>
          <t>г</t>
        </is>
      </c>
      <c r="F102" s="4" t="n">
        <v>10</v>
      </c>
      <c r="G102" s="4" t="n">
        <v>0.4</v>
      </c>
    </row>
    <row r="103">
      <c r="A103" s="2" t="inlineStr">
        <is>
          <t>Мастова Домашный</t>
        </is>
      </c>
      <c r="B103" s="2" t="inlineStr"/>
      <c r="C103" s="2" t="inlineStr">
        <is>
          <t>катик</t>
        </is>
      </c>
      <c r="D103" s="2" t="n">
        <v>30</v>
      </c>
      <c r="E103" s="2" t="inlineStr">
        <is>
          <t>г</t>
        </is>
      </c>
      <c r="F103" s="4" t="n">
        <v>10</v>
      </c>
      <c r="G103" s="4" t="n">
        <v>0.3</v>
      </c>
    </row>
    <row r="104">
      <c r="A104" s="2" t="inlineStr">
        <is>
          <t>Мастова Домашный</t>
        </is>
      </c>
      <c r="B104" s="2" t="inlineStr"/>
      <c r="C104" s="2" t="inlineStr">
        <is>
          <t>зелень</t>
        </is>
      </c>
      <c r="D104" s="2" t="n">
        <v>4</v>
      </c>
      <c r="E104" s="2" t="inlineStr">
        <is>
          <t>г</t>
        </is>
      </c>
      <c r="F104" s="4" t="n">
        <v>50</v>
      </c>
      <c r="G104" s="4" t="n">
        <v>0.2</v>
      </c>
    </row>
    <row r="105">
      <c r="A105" s="2" t="inlineStr">
        <is>
          <t>Мастова Домашный</t>
        </is>
      </c>
      <c r="B105" s="2" t="inlineStr"/>
      <c r="C105" s="2" t="inlineStr">
        <is>
          <t>порция</t>
        </is>
      </c>
      <c r="D105" s="2" t="n">
        <v>274</v>
      </c>
      <c r="E105" s="2" t="inlineStr">
        <is>
          <t>г</t>
        </is>
      </c>
      <c r="F105" s="4" t="n">
        <v>0</v>
      </c>
      <c r="G105" s="4" t="n">
        <v>0</v>
      </c>
    </row>
    <row r="106">
      <c r="A106" s="2" t="inlineStr">
        <is>
          <t>Мастова Домашный</t>
        </is>
      </c>
      <c r="B106" s="2" t="inlineStr"/>
      <c r="C106" s="2" t="inlineStr">
        <is>
          <t>вых</t>
        </is>
      </c>
      <c r="D106" s="2" t="n">
        <v>1000</v>
      </c>
      <c r="E106" s="2" t="inlineStr">
        <is>
          <t>г</t>
        </is>
      </c>
      <c r="F106" s="4" t="n">
        <v>0</v>
      </c>
      <c r="G106" s="4" t="n">
        <v>0</v>
      </c>
    </row>
    <row r="107">
      <c r="C107" s="3" t="inlineStr">
        <is>
          <t>ИТОГО</t>
        </is>
      </c>
      <c r="F107" s="7" t="inlineStr">
        <is>
          <t>Цена: 14.0</t>
        </is>
      </c>
      <c r="G107" s="8" t="n">
        <v>5.1</v>
      </c>
    </row>
    <row r="108"/>
    <row r="109">
      <c r="A109" s="3" t="inlineStr">
        <is>
          <t>Чучвара</t>
        </is>
      </c>
      <c r="B109" s="2" t="inlineStr">
        <is>
          <t>Супы</t>
        </is>
      </c>
      <c r="C109" s="2" t="inlineStr">
        <is>
          <t>3в1</t>
        </is>
      </c>
      <c r="D109" s="2" t="n">
        <v>200</v>
      </c>
      <c r="E109" s="2" t="inlineStr">
        <is>
          <t>г</t>
        </is>
      </c>
      <c r="F109" s="4" t="n">
        <v>21</v>
      </c>
      <c r="G109" s="4" t="n">
        <v>4.2</v>
      </c>
    </row>
    <row r="110">
      <c r="A110" s="2" t="inlineStr">
        <is>
          <t>Чучвара</t>
        </is>
      </c>
      <c r="B110" s="2" t="inlineStr"/>
      <c r="C110" s="2" t="inlineStr">
        <is>
          <t>чучвара</t>
        </is>
      </c>
      <c r="D110" s="2" t="n">
        <v>40</v>
      </c>
      <c r="E110" s="2" t="inlineStr">
        <is>
          <t>г</t>
        </is>
      </c>
      <c r="F110" s="4" t="n">
        <v>50</v>
      </c>
      <c r="G110" s="4" t="n">
        <v>2</v>
      </c>
    </row>
    <row r="111">
      <c r="A111" s="2" t="inlineStr">
        <is>
          <t>Чучвара</t>
        </is>
      </c>
      <c r="B111" s="2" t="inlineStr"/>
      <c r="C111" s="2" t="inlineStr">
        <is>
          <t>катик</t>
        </is>
      </c>
      <c r="D111" s="2" t="n">
        <v>30</v>
      </c>
      <c r="E111" s="2" t="inlineStr">
        <is>
          <t>г</t>
        </is>
      </c>
      <c r="F111" s="4" t="n">
        <v>10</v>
      </c>
      <c r="G111" s="4" t="n">
        <v>0.3</v>
      </c>
    </row>
    <row r="112">
      <c r="A112" s="2" t="inlineStr">
        <is>
          <t>Чучвара</t>
        </is>
      </c>
      <c r="B112" s="2" t="inlineStr"/>
      <c r="C112" s="2" t="inlineStr">
        <is>
          <t>зелень</t>
        </is>
      </c>
      <c r="D112" s="2" t="n">
        <v>4</v>
      </c>
      <c r="E112" s="2" t="inlineStr">
        <is>
          <t>г</t>
        </is>
      </c>
      <c r="F112" s="4" t="n">
        <v>50</v>
      </c>
      <c r="G112" s="4" t="n">
        <v>0.2</v>
      </c>
    </row>
    <row r="113">
      <c r="A113" s="2" t="inlineStr">
        <is>
          <t>Чучвара</t>
        </is>
      </c>
      <c r="B113" s="2" t="inlineStr"/>
      <c r="C113" s="2" t="inlineStr">
        <is>
          <t>порция</t>
        </is>
      </c>
      <c r="D113" s="2" t="n">
        <v>274</v>
      </c>
      <c r="E113" s="2" t="inlineStr">
        <is>
          <t>г</t>
        </is>
      </c>
      <c r="F113" s="4" t="n">
        <v>0</v>
      </c>
      <c r="G113" s="4" t="n">
        <v>0</v>
      </c>
    </row>
    <row r="114">
      <c r="A114" s="2" t="inlineStr">
        <is>
          <t>Чучвара</t>
        </is>
      </c>
      <c r="B114" s="2" t="inlineStr"/>
      <c r="C114" s="2" t="inlineStr">
        <is>
          <t>вых</t>
        </is>
      </c>
      <c r="D114" s="2" t="n">
        <v>1000</v>
      </c>
      <c r="E114" s="2" t="inlineStr">
        <is>
          <t>г</t>
        </is>
      </c>
      <c r="F114" s="4" t="n">
        <v>0</v>
      </c>
      <c r="G114" s="4" t="n">
        <v>0</v>
      </c>
    </row>
    <row r="115">
      <c r="C115" s="3" t="inlineStr">
        <is>
          <t>ИТОГО</t>
        </is>
      </c>
      <c r="F115" s="7" t="inlineStr">
        <is>
          <t>Цена: 18.0</t>
        </is>
      </c>
      <c r="G115" s="8" t="n">
        <v>6.7</v>
      </c>
    </row>
    <row r="116"/>
    <row r="117">
      <c r="A117" s="3" t="inlineStr">
        <is>
          <t>Угро</t>
        </is>
      </c>
      <c r="B117" s="2" t="inlineStr">
        <is>
          <t>Супы</t>
        </is>
      </c>
      <c r="C117" s="2" t="inlineStr">
        <is>
          <t>3в1</t>
        </is>
      </c>
      <c r="D117" s="2" t="n">
        <v>200</v>
      </c>
      <c r="E117" s="2" t="inlineStr">
        <is>
          <t>г</t>
        </is>
      </c>
      <c r="F117" s="4" t="n">
        <v>21</v>
      </c>
      <c r="G117" s="4" t="n">
        <v>4.2</v>
      </c>
    </row>
    <row r="118">
      <c r="A118" s="2" t="inlineStr">
        <is>
          <t>Угро</t>
        </is>
      </c>
      <c r="B118" s="2" t="inlineStr"/>
      <c r="C118" s="2" t="inlineStr">
        <is>
          <t>лапша</t>
        </is>
      </c>
      <c r="D118" s="2" t="n">
        <v>40</v>
      </c>
      <c r="E118" s="2" t="inlineStr">
        <is>
          <t>г</t>
        </is>
      </c>
      <c r="F118" s="4" t="n">
        <v>22</v>
      </c>
      <c r="G118" s="4" t="n">
        <v>0.88</v>
      </c>
    </row>
    <row r="119">
      <c r="A119" s="2" t="inlineStr">
        <is>
          <t>Угро</t>
        </is>
      </c>
      <c r="B119" s="2" t="inlineStr"/>
      <c r="C119" s="2" t="inlineStr">
        <is>
          <t>катик</t>
        </is>
      </c>
      <c r="D119" s="2" t="n">
        <v>30</v>
      </c>
      <c r="E119" s="2" t="inlineStr">
        <is>
          <t>г</t>
        </is>
      </c>
      <c r="F119" s="4" t="n">
        <v>10</v>
      </c>
      <c r="G119" s="4" t="n">
        <v>0.3</v>
      </c>
    </row>
    <row r="120">
      <c r="A120" s="2" t="inlineStr">
        <is>
          <t>Угро</t>
        </is>
      </c>
      <c r="B120" s="2" t="inlineStr"/>
      <c r="C120" s="2" t="inlineStr">
        <is>
          <t>зелень</t>
        </is>
      </c>
      <c r="D120" s="2" t="n">
        <v>4</v>
      </c>
      <c r="E120" s="2" t="inlineStr">
        <is>
          <t>г</t>
        </is>
      </c>
      <c r="F120" s="4" t="n">
        <v>50</v>
      </c>
      <c r="G120" s="4" t="n">
        <v>0.2</v>
      </c>
    </row>
    <row r="121">
      <c r="A121" s="2" t="inlineStr">
        <is>
          <t>Угро</t>
        </is>
      </c>
      <c r="B121" s="2" t="inlineStr"/>
      <c r="C121" s="2" t="inlineStr">
        <is>
          <t>порция</t>
        </is>
      </c>
      <c r="D121" s="2" t="n">
        <v>274</v>
      </c>
      <c r="E121" s="2" t="inlineStr">
        <is>
          <t>г</t>
        </is>
      </c>
      <c r="F121" s="4" t="n">
        <v>0</v>
      </c>
      <c r="G121" s="4" t="n">
        <v>0</v>
      </c>
    </row>
    <row r="122">
      <c r="A122" s="2" t="inlineStr">
        <is>
          <t>Угро</t>
        </is>
      </c>
      <c r="B122" s="2" t="inlineStr"/>
      <c r="C122" s="2" t="inlineStr">
        <is>
          <t>вых</t>
        </is>
      </c>
      <c r="D122" s="2" t="n">
        <v>1000</v>
      </c>
      <c r="E122" s="2" t="inlineStr">
        <is>
          <t>г</t>
        </is>
      </c>
      <c r="F122" s="4" t="n">
        <v>0</v>
      </c>
      <c r="G122" s="4" t="n">
        <v>0</v>
      </c>
    </row>
    <row r="123">
      <c r="C123" s="3" t="inlineStr">
        <is>
          <t>ИТОГО</t>
        </is>
      </c>
      <c r="F123" s="7" t="inlineStr">
        <is>
          <t>Цена: 16.0</t>
        </is>
      </c>
      <c r="G123" s="8" t="n">
        <v>5.58</v>
      </c>
    </row>
    <row r="124"/>
    <row r="125">
      <c r="A125" s="3" t="inlineStr">
        <is>
          <t>Харчо</t>
        </is>
      </c>
      <c r="B125" s="2" t="inlineStr">
        <is>
          <t>Супы</t>
        </is>
      </c>
      <c r="C125" s="2" t="inlineStr">
        <is>
          <t>3в1</t>
        </is>
      </c>
      <c r="D125" s="2" t="n">
        <v>200</v>
      </c>
      <c r="E125" s="2" t="inlineStr">
        <is>
          <t>г</t>
        </is>
      </c>
      <c r="F125" s="4" t="n">
        <v>21</v>
      </c>
      <c r="G125" s="4" t="n">
        <v>4.2</v>
      </c>
    </row>
    <row r="126">
      <c r="A126" s="2" t="inlineStr">
        <is>
          <t>Харчо</t>
        </is>
      </c>
      <c r="B126" s="2" t="inlineStr"/>
      <c r="C126" s="2" t="inlineStr">
        <is>
          <t>гурунч</t>
        </is>
      </c>
      <c r="D126" s="2" t="n">
        <v>40</v>
      </c>
      <c r="E126" s="2" t="inlineStr">
        <is>
          <t>г</t>
        </is>
      </c>
      <c r="F126" s="4" t="n">
        <v>10</v>
      </c>
      <c r="G126" s="4" t="n">
        <v>0.4</v>
      </c>
    </row>
    <row r="127">
      <c r="A127" s="2" t="inlineStr">
        <is>
          <t>Харчо</t>
        </is>
      </c>
      <c r="B127" s="2" t="inlineStr"/>
      <c r="C127" s="2" t="inlineStr">
        <is>
          <t>катик</t>
        </is>
      </c>
      <c r="D127" s="2" t="n">
        <v>30</v>
      </c>
      <c r="E127" s="2" t="inlineStr">
        <is>
          <t>г</t>
        </is>
      </c>
      <c r="F127" s="4" t="n">
        <v>10</v>
      </c>
      <c r="G127" s="4" t="n">
        <v>0.3</v>
      </c>
    </row>
    <row r="128">
      <c r="A128" s="2" t="inlineStr">
        <is>
          <t>Харчо</t>
        </is>
      </c>
      <c r="B128" s="2" t="inlineStr"/>
      <c r="C128" s="2" t="inlineStr">
        <is>
          <t>зелень</t>
        </is>
      </c>
      <c r="D128" s="2" t="n">
        <v>4</v>
      </c>
      <c r="E128" s="2" t="inlineStr">
        <is>
          <t>г</t>
        </is>
      </c>
      <c r="F128" s="4" t="n">
        <v>50</v>
      </c>
      <c r="G128" s="4" t="n">
        <v>0.2</v>
      </c>
    </row>
    <row r="129">
      <c r="A129" s="2" t="inlineStr">
        <is>
          <t>Харчо</t>
        </is>
      </c>
      <c r="B129" s="2" t="inlineStr"/>
      <c r="C129" s="2" t="inlineStr">
        <is>
          <t>калампир</t>
        </is>
      </c>
      <c r="D129" s="2" t="n">
        <v>7</v>
      </c>
      <c r="E129" s="2" t="inlineStr">
        <is>
          <t>г</t>
        </is>
      </c>
      <c r="F129" s="4" t="n">
        <v>100</v>
      </c>
      <c r="G129" s="4" t="n">
        <v>0.7</v>
      </c>
    </row>
    <row r="130">
      <c r="A130" s="2" t="inlineStr">
        <is>
          <t>Харчо</t>
        </is>
      </c>
      <c r="B130" s="2" t="inlineStr"/>
      <c r="C130" s="2" t="inlineStr">
        <is>
          <t>порция</t>
        </is>
      </c>
      <c r="D130" s="2" t="n">
        <v>274</v>
      </c>
      <c r="E130" s="2" t="inlineStr">
        <is>
          <t>г</t>
        </is>
      </c>
      <c r="F130" s="4" t="n">
        <v>0</v>
      </c>
      <c r="G130" s="4" t="n">
        <v>0</v>
      </c>
    </row>
    <row r="131">
      <c r="A131" s="2" t="inlineStr">
        <is>
          <t>Харчо</t>
        </is>
      </c>
      <c r="B131" s="2" t="inlineStr"/>
      <c r="C131" s="2" t="inlineStr">
        <is>
          <t>вых</t>
        </is>
      </c>
      <c r="D131" s="2" t="n">
        <v>1025.5</v>
      </c>
      <c r="E131" s="2" t="inlineStr">
        <is>
          <t>г</t>
        </is>
      </c>
      <c r="F131" s="4" t="n">
        <v>0</v>
      </c>
      <c r="G131" s="4" t="n">
        <v>0</v>
      </c>
    </row>
    <row r="132">
      <c r="C132" s="3" t="inlineStr">
        <is>
          <t>ИТОГО</t>
        </is>
      </c>
      <c r="F132" s="7" t="inlineStr">
        <is>
          <t>Цена: 18.0</t>
        </is>
      </c>
      <c r="G132" s="8" t="n">
        <v>5.8</v>
      </c>
    </row>
    <row r="133"/>
    <row r="134">
      <c r="A134" s="3" t="inlineStr">
        <is>
          <t>Чечивица</t>
        </is>
      </c>
      <c r="B134" s="2" t="inlineStr">
        <is>
          <t>Супы</t>
        </is>
      </c>
      <c r="C134" s="2" t="inlineStr">
        <is>
          <t>сарег</t>
        </is>
      </c>
      <c r="D134" s="2" t="n">
        <v>300</v>
      </c>
      <c r="E134" s="2" t="inlineStr">
        <is>
          <t>г</t>
        </is>
      </c>
      <c r="F134" s="4" t="n">
        <v>40</v>
      </c>
      <c r="G134" s="4" t="n">
        <v>12</v>
      </c>
    </row>
    <row r="135">
      <c r="A135" s="2" t="inlineStr">
        <is>
          <t>Чечивица</t>
        </is>
      </c>
      <c r="B135" s="2" t="inlineStr"/>
      <c r="C135" s="2" t="inlineStr">
        <is>
          <t>ег</t>
        </is>
      </c>
      <c r="D135" s="2" t="n">
        <v>100</v>
      </c>
      <c r="E135" s="2" t="inlineStr">
        <is>
          <t>г</t>
        </is>
      </c>
      <c r="F135" s="4" t="n">
        <v>17</v>
      </c>
      <c r="G135" s="4" t="n">
        <v>1.7</v>
      </c>
    </row>
    <row r="136">
      <c r="A136" s="2" t="inlineStr">
        <is>
          <t>Чечивица</t>
        </is>
      </c>
      <c r="B136" s="2" t="inlineStr"/>
      <c r="C136" s="2" t="inlineStr">
        <is>
          <t>чечивица</t>
        </is>
      </c>
      <c r="D136" s="2" t="n">
        <v>800</v>
      </c>
      <c r="E136" s="2" t="inlineStr">
        <is>
          <t>г</t>
        </is>
      </c>
      <c r="F136" s="4" t="n">
        <v>15</v>
      </c>
      <c r="G136" s="4" t="n">
        <v>12</v>
      </c>
    </row>
    <row r="137">
      <c r="A137" s="2" t="inlineStr">
        <is>
          <t>Чечивица</t>
        </is>
      </c>
      <c r="B137" s="2" t="inlineStr"/>
      <c r="C137" s="2" t="inlineStr">
        <is>
          <t>сабзи</t>
        </is>
      </c>
      <c r="D137" s="2" t="n">
        <v>450</v>
      </c>
      <c r="E137" s="2" t="inlineStr">
        <is>
          <t>г</t>
        </is>
      </c>
      <c r="F137" s="4" t="n">
        <v>10</v>
      </c>
      <c r="G137" s="4" t="n">
        <v>4.5</v>
      </c>
    </row>
    <row r="138">
      <c r="A138" s="2" t="inlineStr">
        <is>
          <t>Чечивица</t>
        </is>
      </c>
      <c r="B138" s="2" t="inlineStr"/>
      <c r="C138" s="2" t="inlineStr">
        <is>
          <t>картошка</t>
        </is>
      </c>
      <c r="D138" s="2" t="n">
        <v>400</v>
      </c>
      <c r="E138" s="2" t="inlineStr">
        <is>
          <t>г</t>
        </is>
      </c>
      <c r="F138" s="4" t="n">
        <v>10</v>
      </c>
      <c r="G138" s="4" t="n">
        <v>4</v>
      </c>
    </row>
    <row r="139">
      <c r="A139" s="2" t="inlineStr">
        <is>
          <t>Чечивица</t>
        </is>
      </c>
      <c r="B139" s="2" t="inlineStr"/>
      <c r="C139" s="2" t="inlineStr">
        <is>
          <t>пиез</t>
        </is>
      </c>
      <c r="D139" s="2" t="n">
        <v>200</v>
      </c>
      <c r="E139" s="2" t="inlineStr">
        <is>
          <t>г</t>
        </is>
      </c>
      <c r="F139" s="4" t="n">
        <v>10</v>
      </c>
      <c r="G139" s="4" t="n">
        <v>2</v>
      </c>
    </row>
    <row r="140">
      <c r="A140" s="2" t="inlineStr">
        <is>
          <t>Чечивица</t>
        </is>
      </c>
      <c r="B140" s="2" t="inlineStr"/>
      <c r="C140" s="2" t="inlineStr">
        <is>
          <t>сут</t>
        </is>
      </c>
      <c r="D140" s="2" t="n">
        <v>1500</v>
      </c>
      <c r="E140" s="2" t="inlineStr">
        <is>
          <t>г</t>
        </is>
      </c>
      <c r="F140" s="4" t="n">
        <v>9.199999999999999</v>
      </c>
      <c r="G140" s="4" t="n">
        <v>13.8</v>
      </c>
    </row>
    <row r="141">
      <c r="A141" s="2" t="inlineStr">
        <is>
          <t>Чечивица</t>
        </is>
      </c>
      <c r="B141" s="2" t="inlineStr"/>
      <c r="C141" s="2" t="inlineStr">
        <is>
          <t>сливки</t>
        </is>
      </c>
      <c r="D141" s="2" t="n">
        <v>200</v>
      </c>
      <c r="E141" s="2" t="inlineStr">
        <is>
          <t>г</t>
        </is>
      </c>
      <c r="F141" s="4" t="n">
        <v>70</v>
      </c>
      <c r="G141" s="4" t="n">
        <v>14</v>
      </c>
    </row>
    <row r="142">
      <c r="A142" s="2" t="inlineStr">
        <is>
          <t>Чечивица</t>
        </is>
      </c>
      <c r="B142" s="2" t="inlineStr"/>
      <c r="C142" s="2" t="inlineStr">
        <is>
          <t>специ</t>
        </is>
      </c>
      <c r="D142" s="2" t="n">
        <v>50</v>
      </c>
      <c r="E142" s="2" t="inlineStr">
        <is>
          <t>г</t>
        </is>
      </c>
      <c r="F142" s="4" t="n">
        <v>100</v>
      </c>
      <c r="G142" s="4" t="n">
        <v>5</v>
      </c>
    </row>
    <row r="143">
      <c r="A143" s="2" t="inlineStr">
        <is>
          <t>Чечивица</t>
        </is>
      </c>
      <c r="B143" s="2" t="inlineStr"/>
      <c r="C143" s="2" t="inlineStr">
        <is>
          <t>сув</t>
        </is>
      </c>
      <c r="D143" s="2" t="n">
        <v>5000</v>
      </c>
      <c r="E143" s="2" t="inlineStr">
        <is>
          <t>г</t>
        </is>
      </c>
      <c r="F143" s="4" t="n">
        <v>0.4</v>
      </c>
      <c r="G143" s="4" t="n">
        <v>2</v>
      </c>
    </row>
    <row r="144">
      <c r="A144" s="2" t="inlineStr">
        <is>
          <t>Чечивица</t>
        </is>
      </c>
      <c r="B144" s="2" t="inlineStr"/>
      <c r="C144" s="2" t="inlineStr">
        <is>
          <t>порция</t>
        </is>
      </c>
      <c r="D144" s="2" t="n">
        <v>250</v>
      </c>
      <c r="E144" s="2" t="inlineStr">
        <is>
          <t>г</t>
        </is>
      </c>
      <c r="F144" s="4" t="n">
        <v>0</v>
      </c>
      <c r="G144" s="4" t="n">
        <v>0</v>
      </c>
    </row>
    <row r="145">
      <c r="A145" s="2" t="inlineStr">
        <is>
          <t>Чечивица</t>
        </is>
      </c>
      <c r="B145" s="2" t="inlineStr"/>
      <c r="C145" s="2" t="inlineStr">
        <is>
          <t>вых</t>
        </is>
      </c>
      <c r="D145" s="2" t="n">
        <v>36000</v>
      </c>
      <c r="E145" s="2" t="inlineStr">
        <is>
          <t>г</t>
        </is>
      </c>
      <c r="F145" s="4" t="n">
        <v>0</v>
      </c>
      <c r="G145" s="4" t="n">
        <v>0</v>
      </c>
    </row>
    <row r="146">
      <c r="C146" s="3" t="inlineStr">
        <is>
          <t>ИТОГО</t>
        </is>
      </c>
      <c r="F146" s="7" t="inlineStr">
        <is>
          <t>Цена: 12.0</t>
        </is>
      </c>
      <c r="G146" s="8" t="n">
        <v>71</v>
      </c>
    </row>
    <row r="147"/>
    <row r="148">
      <c r="A148" s="3" t="inlineStr">
        <is>
          <t>Суп Хрущевский</t>
        </is>
      </c>
      <c r="B148" s="2" t="inlineStr">
        <is>
          <t>Супы</t>
        </is>
      </c>
      <c r="C148" s="2" t="inlineStr">
        <is>
          <t>сарег</t>
        </is>
      </c>
      <c r="D148" s="2" t="n">
        <v>500</v>
      </c>
      <c r="E148" s="2" t="inlineStr">
        <is>
          <t>г</t>
        </is>
      </c>
      <c r="F148" s="4" t="n">
        <v>40</v>
      </c>
      <c r="G148" s="4" t="n">
        <v>20</v>
      </c>
    </row>
    <row r="149">
      <c r="A149" s="2" t="inlineStr">
        <is>
          <t>Суп Хрущевский</t>
        </is>
      </c>
      <c r="B149" s="2" t="inlineStr"/>
      <c r="C149" s="2" t="inlineStr">
        <is>
          <t>пиез</t>
        </is>
      </c>
      <c r="D149" s="2" t="n">
        <v>200</v>
      </c>
      <c r="E149" s="2" t="inlineStr">
        <is>
          <t>г</t>
        </is>
      </c>
      <c r="F149" s="4" t="n">
        <v>10</v>
      </c>
      <c r="G149" s="4" t="n">
        <v>2</v>
      </c>
    </row>
    <row r="150">
      <c r="A150" s="2" t="inlineStr">
        <is>
          <t>Суп Хрущевский</t>
        </is>
      </c>
      <c r="B150" s="2" t="inlineStr"/>
      <c r="C150" s="2" t="inlineStr">
        <is>
          <t>кур грудка</t>
        </is>
      </c>
      <c r="D150" s="2" t="n">
        <v>800</v>
      </c>
      <c r="E150" s="2" t="inlineStr">
        <is>
          <t>г</t>
        </is>
      </c>
      <c r="F150" s="4" t="n">
        <v>40</v>
      </c>
      <c r="G150" s="4" t="n">
        <v>32</v>
      </c>
    </row>
    <row r="151">
      <c r="A151" s="2" t="inlineStr">
        <is>
          <t>Суп Хрущевский</t>
        </is>
      </c>
      <c r="B151" s="2" t="inlineStr"/>
      <c r="C151" s="2" t="inlineStr">
        <is>
          <t>сабзи</t>
        </is>
      </c>
      <c r="D151" s="2" t="n">
        <v>500</v>
      </c>
      <c r="E151" s="2" t="inlineStr">
        <is>
          <t>г</t>
        </is>
      </c>
      <c r="F151" s="4" t="n">
        <v>10</v>
      </c>
      <c r="G151" s="4" t="n">
        <v>5</v>
      </c>
    </row>
    <row r="152">
      <c r="A152" s="2" t="inlineStr">
        <is>
          <t>Суп Хрущевский</t>
        </is>
      </c>
      <c r="B152" s="2" t="inlineStr"/>
      <c r="C152" s="2" t="inlineStr">
        <is>
          <t>картошка</t>
        </is>
      </c>
      <c r="D152" s="2" t="n">
        <v>600</v>
      </c>
      <c r="E152" s="2" t="inlineStr">
        <is>
          <t>г</t>
        </is>
      </c>
      <c r="F152" s="4" t="n">
        <v>10</v>
      </c>
      <c r="G152" s="4" t="n">
        <v>6</v>
      </c>
    </row>
    <row r="153">
      <c r="A153" s="2" t="inlineStr">
        <is>
          <t>Суп Хрущевский</t>
        </is>
      </c>
      <c r="B153" s="2" t="inlineStr"/>
      <c r="C153" s="2" t="inlineStr">
        <is>
          <t>балгар</t>
        </is>
      </c>
      <c r="D153" s="2" t="n">
        <v>400</v>
      </c>
      <c r="E153" s="2" t="inlineStr">
        <is>
          <t>г</t>
        </is>
      </c>
      <c r="F153" s="4" t="n">
        <v>53.6</v>
      </c>
      <c r="G153" s="4" t="n">
        <v>21.44</v>
      </c>
    </row>
    <row r="154">
      <c r="A154" s="2" t="inlineStr">
        <is>
          <t>Суп Хрущевский</t>
        </is>
      </c>
      <c r="B154" s="2" t="inlineStr"/>
      <c r="C154" s="2" t="inlineStr">
        <is>
          <t>кукуруз</t>
        </is>
      </c>
      <c r="D154" s="2" t="n">
        <v>250</v>
      </c>
      <c r="E154" s="2" t="inlineStr">
        <is>
          <t>г</t>
        </is>
      </c>
      <c r="F154" s="4" t="n">
        <v>50</v>
      </c>
      <c r="G154" s="4" t="n">
        <v>12.5</v>
      </c>
    </row>
    <row r="155">
      <c r="A155" s="2" t="inlineStr">
        <is>
          <t>Суп Хрущевский</t>
        </is>
      </c>
      <c r="B155" s="2" t="inlineStr"/>
      <c r="C155" s="2" t="inlineStr">
        <is>
          <t>карокот</t>
        </is>
      </c>
      <c r="D155" s="2" t="n">
        <v>50</v>
      </c>
      <c r="E155" s="2" t="inlineStr">
        <is>
          <t>г</t>
        </is>
      </c>
      <c r="F155" s="4" t="n">
        <v>100</v>
      </c>
      <c r="G155" s="4" t="n">
        <v>5</v>
      </c>
    </row>
    <row r="156">
      <c r="A156" s="2" t="inlineStr">
        <is>
          <t>Суп Хрущевский</t>
        </is>
      </c>
      <c r="B156" s="2" t="inlineStr"/>
      <c r="C156" s="2" t="inlineStr">
        <is>
          <t>специ</t>
        </is>
      </c>
      <c r="D156" s="2" t="n">
        <v>50</v>
      </c>
      <c r="E156" s="2" t="inlineStr">
        <is>
          <t>г</t>
        </is>
      </c>
      <c r="F156" s="4" t="n">
        <v>100</v>
      </c>
      <c r="G156" s="4" t="n">
        <v>5</v>
      </c>
    </row>
    <row r="157">
      <c r="A157" s="2" t="inlineStr">
        <is>
          <t>Суп Хрущевский</t>
        </is>
      </c>
      <c r="B157" s="2" t="inlineStr"/>
      <c r="C157" s="2" t="inlineStr">
        <is>
          <t>сув</t>
        </is>
      </c>
      <c r="D157" s="2" t="n">
        <v>3500</v>
      </c>
      <c r="E157" s="2" t="inlineStr">
        <is>
          <t>г</t>
        </is>
      </c>
      <c r="F157" s="4" t="n">
        <v>0.4</v>
      </c>
      <c r="G157" s="4" t="n">
        <v>1.4</v>
      </c>
    </row>
    <row r="158">
      <c r="A158" s="2" t="inlineStr">
        <is>
          <t>Суп Хрущевский</t>
        </is>
      </c>
      <c r="B158" s="2" t="inlineStr"/>
      <c r="C158" s="2" t="inlineStr">
        <is>
          <t>сметана</t>
        </is>
      </c>
      <c r="D158" s="2" t="n">
        <v>800</v>
      </c>
      <c r="E158" s="2" t="inlineStr">
        <is>
          <t>г</t>
        </is>
      </c>
      <c r="F158" s="4" t="n">
        <v>15</v>
      </c>
      <c r="G158" s="4" t="n">
        <v>12</v>
      </c>
    </row>
    <row r="159">
      <c r="A159" s="2" t="inlineStr">
        <is>
          <t>Суп Хрущевский</t>
        </is>
      </c>
      <c r="B159" s="2" t="inlineStr"/>
      <c r="C159" s="2" t="inlineStr">
        <is>
          <t>порция</t>
        </is>
      </c>
      <c r="D159" s="2" t="n">
        <v>310</v>
      </c>
      <c r="E159" s="2" t="inlineStr">
        <is>
          <t>г</t>
        </is>
      </c>
      <c r="F159" s="4" t="n">
        <v>0</v>
      </c>
      <c r="G159" s="4" t="n">
        <v>0</v>
      </c>
    </row>
    <row r="160">
      <c r="A160" s="2" t="inlineStr">
        <is>
          <t>Суп Хрущевский</t>
        </is>
      </c>
      <c r="B160" s="2" t="inlineStr"/>
      <c r="C160" s="2" t="inlineStr">
        <is>
          <t>вых</t>
        </is>
      </c>
      <c r="D160" s="2" t="n">
        <v>24677.4</v>
      </c>
      <c r="E160" s="2" t="inlineStr">
        <is>
          <t>г</t>
        </is>
      </c>
      <c r="F160" s="4" t="n">
        <v>0</v>
      </c>
      <c r="G160" s="4" t="n">
        <v>0</v>
      </c>
    </row>
    <row r="161">
      <c r="C161" s="3" t="inlineStr">
        <is>
          <t>ИТОГО</t>
        </is>
      </c>
      <c r="F161" s="7" t="inlineStr">
        <is>
          <t>Цена: 14.0</t>
        </is>
      </c>
      <c r="G161" s="8" t="n">
        <v>122.34</v>
      </c>
    </row>
    <row r="162"/>
    <row r="163">
      <c r="A163" s="3" t="inlineStr">
        <is>
          <t>Тефттел Шурбо</t>
        </is>
      </c>
      <c r="B163" s="2" t="inlineStr">
        <is>
          <t>Супы</t>
        </is>
      </c>
      <c r="C163" s="2" t="inlineStr">
        <is>
          <t>тефтел</t>
        </is>
      </c>
      <c r="D163" s="2" t="n">
        <v>180</v>
      </c>
      <c r="E163" s="2" t="inlineStr">
        <is>
          <t>г</t>
        </is>
      </c>
      <c r="F163" s="4" t="n">
        <v>78.75</v>
      </c>
      <c r="G163" s="4" t="n">
        <v>14.17</v>
      </c>
    </row>
    <row r="164">
      <c r="A164" s="2" t="inlineStr">
        <is>
          <t>Тефттел Шурбо</t>
        </is>
      </c>
      <c r="B164" s="2" t="inlineStr"/>
      <c r="C164" s="2" t="inlineStr">
        <is>
          <t>сабзи</t>
        </is>
      </c>
      <c r="D164" s="2" t="n">
        <v>20</v>
      </c>
      <c r="E164" s="2" t="inlineStr">
        <is>
          <t>г</t>
        </is>
      </c>
      <c r="F164" s="4" t="n">
        <v>10</v>
      </c>
      <c r="G164" s="4" t="n">
        <v>0.2</v>
      </c>
    </row>
    <row r="165">
      <c r="A165" s="2" t="inlineStr">
        <is>
          <t>Тефттел Шурбо</t>
        </is>
      </c>
      <c r="B165" s="2" t="inlineStr"/>
      <c r="C165" s="2" t="inlineStr">
        <is>
          <t>картошка</t>
        </is>
      </c>
      <c r="D165" s="2" t="n">
        <v>70</v>
      </c>
      <c r="E165" s="2" t="inlineStr">
        <is>
          <t>г</t>
        </is>
      </c>
      <c r="F165" s="4" t="n">
        <v>10</v>
      </c>
      <c r="G165" s="4" t="n">
        <v>0.7</v>
      </c>
    </row>
    <row r="166">
      <c r="A166" s="2" t="inlineStr">
        <is>
          <t>Тефттел Шурбо</t>
        </is>
      </c>
      <c r="B166" s="2" t="inlineStr"/>
      <c r="C166" s="2" t="inlineStr">
        <is>
          <t>балгар</t>
        </is>
      </c>
      <c r="D166" s="2" t="n">
        <v>10</v>
      </c>
      <c r="E166" s="2" t="inlineStr">
        <is>
          <t>г</t>
        </is>
      </c>
      <c r="F166" s="4" t="n">
        <v>53.6</v>
      </c>
      <c r="G166" s="4" t="n">
        <v>0.54</v>
      </c>
    </row>
    <row r="167">
      <c r="A167" s="2" t="inlineStr">
        <is>
          <t>Тефттел Шурбо</t>
        </is>
      </c>
      <c r="B167" s="2" t="inlineStr"/>
      <c r="C167" s="2" t="inlineStr">
        <is>
          <t>зелен</t>
        </is>
      </c>
      <c r="D167" s="2" t="n">
        <v>4</v>
      </c>
      <c r="E167" s="2" t="inlineStr">
        <is>
          <t>г</t>
        </is>
      </c>
      <c r="F167" s="4" t="n">
        <v>50</v>
      </c>
      <c r="G167" s="4" t="n">
        <v>0.2</v>
      </c>
    </row>
    <row r="168">
      <c r="A168" s="2" t="inlineStr">
        <is>
          <t>Тефттел Шурбо</t>
        </is>
      </c>
      <c r="B168" s="2" t="inlineStr"/>
      <c r="C168" s="2" t="inlineStr">
        <is>
          <t>порция</t>
        </is>
      </c>
      <c r="D168" s="2" t="n">
        <v>284</v>
      </c>
      <c r="E168" s="2" t="inlineStr">
        <is>
          <t>г</t>
        </is>
      </c>
      <c r="F168" s="4" t="n">
        <v>0</v>
      </c>
      <c r="G168" s="4" t="n">
        <v>0</v>
      </c>
    </row>
    <row r="169">
      <c r="A169" s="2" t="inlineStr">
        <is>
          <t>Тефттел Шурбо</t>
        </is>
      </c>
      <c r="B169" s="2" t="inlineStr"/>
      <c r="C169" s="2" t="inlineStr">
        <is>
          <t>вых</t>
        </is>
      </c>
      <c r="D169" s="2" t="n">
        <v>1000</v>
      </c>
      <c r="E169" s="2" t="inlineStr">
        <is>
          <t>г</t>
        </is>
      </c>
      <c r="F169" s="4" t="n">
        <v>0</v>
      </c>
      <c r="G169" s="4" t="n">
        <v>0</v>
      </c>
    </row>
    <row r="170">
      <c r="C170" s="3" t="inlineStr">
        <is>
          <t>ИТОГО</t>
        </is>
      </c>
      <c r="F170" s="7" t="inlineStr">
        <is>
          <t>Цена: 25.0</t>
        </is>
      </c>
      <c r="G170" s="8" t="n">
        <v>15.81</v>
      </c>
    </row>
    <row r="171"/>
    <row r="172">
      <c r="A172" s="3" t="inlineStr">
        <is>
          <t>Забон Шурбо</t>
        </is>
      </c>
      <c r="B172" s="2" t="inlineStr">
        <is>
          <t>Супы</t>
        </is>
      </c>
      <c r="C172" s="2" t="inlineStr">
        <is>
          <t>забон гусф</t>
        </is>
      </c>
      <c r="D172" s="2" t="n">
        <v>80</v>
      </c>
      <c r="E172" s="2" t="inlineStr">
        <is>
          <t>г</t>
        </is>
      </c>
      <c r="F172" s="4" t="n">
        <v>108</v>
      </c>
      <c r="G172" s="4" t="n">
        <v>8.640000000000001</v>
      </c>
    </row>
    <row r="173">
      <c r="A173" s="2" t="inlineStr">
        <is>
          <t>Забон Шурбо</t>
        </is>
      </c>
      <c r="B173" s="2" t="inlineStr"/>
      <c r="C173" s="2" t="inlineStr">
        <is>
          <t>сабзи</t>
        </is>
      </c>
      <c r="D173" s="2" t="n">
        <v>20</v>
      </c>
      <c r="E173" s="2" t="inlineStr">
        <is>
          <t>г</t>
        </is>
      </c>
      <c r="F173" s="4" t="n">
        <v>10</v>
      </c>
      <c r="G173" s="4" t="n">
        <v>0.2</v>
      </c>
    </row>
    <row r="174">
      <c r="A174" s="2" t="inlineStr">
        <is>
          <t>Забон Шурбо</t>
        </is>
      </c>
      <c r="B174" s="2" t="inlineStr"/>
      <c r="C174" s="2" t="inlineStr">
        <is>
          <t>картошка</t>
        </is>
      </c>
      <c r="D174" s="2" t="n">
        <v>70</v>
      </c>
      <c r="E174" s="2" t="inlineStr">
        <is>
          <t>г</t>
        </is>
      </c>
      <c r="F174" s="4" t="n">
        <v>10</v>
      </c>
      <c r="G174" s="4" t="n">
        <v>0.7</v>
      </c>
    </row>
    <row r="175">
      <c r="A175" s="2" t="inlineStr">
        <is>
          <t>Забон Шурбо</t>
        </is>
      </c>
      <c r="B175" s="2" t="inlineStr"/>
      <c r="C175" s="2" t="inlineStr">
        <is>
          <t>балгар</t>
        </is>
      </c>
      <c r="D175" s="2" t="n">
        <v>10</v>
      </c>
      <c r="E175" s="2" t="inlineStr">
        <is>
          <t>г</t>
        </is>
      </c>
      <c r="F175" s="4" t="n">
        <v>53.6</v>
      </c>
      <c r="G175" s="4" t="n">
        <v>0.54</v>
      </c>
    </row>
    <row r="176">
      <c r="A176" s="2" t="inlineStr">
        <is>
          <t>Забон Шурбо</t>
        </is>
      </c>
      <c r="B176" s="2" t="inlineStr"/>
      <c r="C176" s="2" t="inlineStr">
        <is>
          <t>зелен</t>
        </is>
      </c>
      <c r="D176" s="2" t="n">
        <v>4</v>
      </c>
      <c r="E176" s="2" t="inlineStr">
        <is>
          <t>г</t>
        </is>
      </c>
      <c r="F176" s="4" t="n">
        <v>50</v>
      </c>
      <c r="G176" s="4" t="n">
        <v>0.2</v>
      </c>
    </row>
    <row r="177">
      <c r="A177" s="2" t="inlineStr">
        <is>
          <t>Забон Шурбо</t>
        </is>
      </c>
      <c r="B177" s="2" t="inlineStr"/>
      <c r="C177" s="2" t="inlineStr">
        <is>
          <t>порция</t>
        </is>
      </c>
      <c r="D177" s="2" t="n">
        <v>184</v>
      </c>
      <c r="E177" s="2" t="inlineStr">
        <is>
          <t>г</t>
        </is>
      </c>
      <c r="F177" s="4" t="n">
        <v>0</v>
      </c>
      <c r="G177" s="4" t="n">
        <v>0</v>
      </c>
    </row>
    <row r="178">
      <c r="A178" s="2" t="inlineStr">
        <is>
          <t>Забон Шурбо</t>
        </is>
      </c>
      <c r="B178" s="2" t="inlineStr"/>
      <c r="C178" s="2" t="inlineStr">
        <is>
          <t>вых</t>
        </is>
      </c>
      <c r="D178" s="2" t="n">
        <v>1000</v>
      </c>
      <c r="E178" s="2" t="inlineStr">
        <is>
          <t>г</t>
        </is>
      </c>
      <c r="F178" s="4" t="n">
        <v>0</v>
      </c>
      <c r="G178" s="4" t="n">
        <v>0</v>
      </c>
    </row>
    <row r="179">
      <c r="C179" s="3" t="inlineStr">
        <is>
          <t>ИТОГО</t>
        </is>
      </c>
      <c r="F179" s="7" t="inlineStr">
        <is>
          <t>Цена: 23.0</t>
        </is>
      </c>
      <c r="G179" s="8" t="n">
        <v>10.28</v>
      </c>
    </row>
    <row r="180"/>
    <row r="181">
      <c r="A181" s="3" t="inlineStr">
        <is>
          <t>Илик Шурбо</t>
        </is>
      </c>
      <c r="B181" s="2" t="inlineStr">
        <is>
          <t>Супы</t>
        </is>
      </c>
      <c r="C181" s="2" t="inlineStr">
        <is>
          <t>илик</t>
        </is>
      </c>
      <c r="D181" s="2" t="n">
        <v>300</v>
      </c>
      <c r="E181" s="2" t="inlineStr">
        <is>
          <t>г</t>
        </is>
      </c>
      <c r="F181" s="4" t="n">
        <v>200</v>
      </c>
      <c r="G181" s="4" t="n">
        <v>60</v>
      </c>
    </row>
    <row r="182">
      <c r="A182" s="2" t="inlineStr">
        <is>
          <t>Илик Шурбо</t>
        </is>
      </c>
      <c r="B182" s="2" t="inlineStr"/>
      <c r="C182" s="2" t="inlineStr">
        <is>
          <t>сабзи</t>
        </is>
      </c>
      <c r="D182" s="2" t="n">
        <v>20</v>
      </c>
      <c r="E182" s="2" t="inlineStr">
        <is>
          <t>г</t>
        </is>
      </c>
      <c r="F182" s="4" t="n">
        <v>10</v>
      </c>
      <c r="G182" s="4" t="n">
        <v>0.2</v>
      </c>
    </row>
    <row r="183">
      <c r="A183" s="2" t="inlineStr">
        <is>
          <t>Илик Шурбо</t>
        </is>
      </c>
      <c r="B183" s="2" t="inlineStr"/>
      <c r="C183" s="2" t="inlineStr">
        <is>
          <t>картошка</t>
        </is>
      </c>
      <c r="D183" s="2" t="n">
        <v>70</v>
      </c>
      <c r="E183" s="2" t="inlineStr">
        <is>
          <t>г</t>
        </is>
      </c>
      <c r="F183" s="4" t="n">
        <v>10</v>
      </c>
      <c r="G183" s="4" t="n">
        <v>0.7</v>
      </c>
    </row>
    <row r="184">
      <c r="A184" s="2" t="inlineStr">
        <is>
          <t>Илик Шурбо</t>
        </is>
      </c>
      <c r="B184" s="2" t="inlineStr"/>
      <c r="C184" s="2" t="inlineStr">
        <is>
          <t>балгар</t>
        </is>
      </c>
      <c r="D184" s="2" t="n">
        <v>10</v>
      </c>
      <c r="E184" s="2" t="inlineStr">
        <is>
          <t>г</t>
        </is>
      </c>
      <c r="F184" s="4" t="n">
        <v>53.6</v>
      </c>
      <c r="G184" s="4" t="n">
        <v>0.54</v>
      </c>
    </row>
    <row r="185">
      <c r="A185" s="2" t="inlineStr">
        <is>
          <t>Илик Шурбо</t>
        </is>
      </c>
      <c r="B185" s="2" t="inlineStr"/>
      <c r="C185" s="2" t="inlineStr">
        <is>
          <t>зелен</t>
        </is>
      </c>
      <c r="D185" s="2" t="n">
        <v>4</v>
      </c>
      <c r="E185" s="2" t="inlineStr">
        <is>
          <t>г</t>
        </is>
      </c>
      <c r="F185" s="4" t="n">
        <v>50</v>
      </c>
      <c r="G185" s="4" t="n">
        <v>0.2</v>
      </c>
    </row>
    <row r="186">
      <c r="A186" s="2" t="inlineStr">
        <is>
          <t>Илик Шурбо</t>
        </is>
      </c>
      <c r="B186" s="2" t="inlineStr"/>
      <c r="C186" s="2" t="inlineStr">
        <is>
          <t>порция</t>
        </is>
      </c>
      <c r="D186" s="2" t="n">
        <v>400</v>
      </c>
      <c r="E186" s="2" t="inlineStr">
        <is>
          <t>г</t>
        </is>
      </c>
      <c r="F186" s="4" t="n">
        <v>0</v>
      </c>
      <c r="G186" s="4" t="n">
        <v>0</v>
      </c>
    </row>
    <row r="187">
      <c r="A187" s="2" t="inlineStr">
        <is>
          <t>Илик Шурбо</t>
        </is>
      </c>
      <c r="B187" s="2" t="inlineStr"/>
      <c r="C187" s="2" t="inlineStr">
        <is>
          <t>вых</t>
        </is>
      </c>
      <c r="D187" s="2" t="n">
        <v>1010</v>
      </c>
      <c r="E187" s="2" t="inlineStr">
        <is>
          <t>г</t>
        </is>
      </c>
      <c r="F187" s="4" t="n">
        <v>0</v>
      </c>
      <c r="G187" s="4" t="n">
        <v>0</v>
      </c>
    </row>
    <row r="188">
      <c r="C188" s="3" t="inlineStr">
        <is>
          <t>ИТОГО</t>
        </is>
      </c>
      <c r="F188" s="7" t="inlineStr">
        <is>
          <t>Цена: 62.0</t>
        </is>
      </c>
      <c r="G188" s="8" t="n">
        <v>61.64</v>
      </c>
    </row>
    <row r="189"/>
    <row r="190">
      <c r="A190" s="3" t="inlineStr">
        <is>
          <t>Дум Шурбо</t>
        </is>
      </c>
      <c r="B190" s="2" t="inlineStr">
        <is>
          <t>Супы</t>
        </is>
      </c>
      <c r="C190" s="2" t="inlineStr">
        <is>
          <t>дум</t>
        </is>
      </c>
      <c r="D190" s="2" t="n">
        <v>200</v>
      </c>
      <c r="E190" s="2" t="inlineStr">
        <is>
          <t>г</t>
        </is>
      </c>
      <c r="F190" s="4" t="n">
        <v>200</v>
      </c>
      <c r="G190" s="4" t="n">
        <v>40</v>
      </c>
    </row>
    <row r="191">
      <c r="A191" s="2" t="inlineStr">
        <is>
          <t>Дум Шурбо</t>
        </is>
      </c>
      <c r="B191" s="2" t="inlineStr"/>
      <c r="C191" s="2" t="inlineStr">
        <is>
          <t>сабзи</t>
        </is>
      </c>
      <c r="D191" s="2" t="n">
        <v>20</v>
      </c>
      <c r="E191" s="2" t="inlineStr">
        <is>
          <t>г</t>
        </is>
      </c>
      <c r="F191" s="4" t="n">
        <v>10</v>
      </c>
      <c r="G191" s="4" t="n">
        <v>0.2</v>
      </c>
    </row>
    <row r="192">
      <c r="A192" s="2" t="inlineStr">
        <is>
          <t>Дум Шурбо</t>
        </is>
      </c>
      <c r="B192" s="2" t="inlineStr"/>
      <c r="C192" s="2" t="inlineStr">
        <is>
          <t>картошка</t>
        </is>
      </c>
      <c r="D192" s="2" t="n">
        <v>70</v>
      </c>
      <c r="E192" s="2" t="inlineStr">
        <is>
          <t>г</t>
        </is>
      </c>
      <c r="F192" s="4" t="n">
        <v>10</v>
      </c>
      <c r="G192" s="4" t="n">
        <v>0.7</v>
      </c>
    </row>
    <row r="193">
      <c r="A193" s="2" t="inlineStr">
        <is>
          <t>Дум Шурбо</t>
        </is>
      </c>
      <c r="B193" s="2" t="inlineStr"/>
      <c r="C193" s="2" t="inlineStr">
        <is>
          <t>балгар</t>
        </is>
      </c>
      <c r="D193" s="2" t="n">
        <v>10</v>
      </c>
      <c r="E193" s="2" t="inlineStr">
        <is>
          <t>г</t>
        </is>
      </c>
      <c r="F193" s="4" t="n">
        <v>53.6</v>
      </c>
      <c r="G193" s="4" t="n">
        <v>0.54</v>
      </c>
    </row>
    <row r="194">
      <c r="A194" s="2" t="inlineStr">
        <is>
          <t>Дум Шурбо</t>
        </is>
      </c>
      <c r="B194" s="2" t="inlineStr"/>
      <c r="C194" s="2" t="inlineStr">
        <is>
          <t>зелен</t>
        </is>
      </c>
      <c r="D194" s="2" t="n">
        <v>4</v>
      </c>
      <c r="E194" s="2" t="inlineStr">
        <is>
          <t>г</t>
        </is>
      </c>
      <c r="F194" s="4" t="n">
        <v>50</v>
      </c>
      <c r="G194" s="4" t="n">
        <v>0.2</v>
      </c>
    </row>
    <row r="195">
      <c r="A195" s="2" t="inlineStr">
        <is>
          <t>Дум Шурбо</t>
        </is>
      </c>
      <c r="B195" s="2" t="inlineStr"/>
      <c r="C195" s="2" t="inlineStr">
        <is>
          <t>порция</t>
        </is>
      </c>
      <c r="D195" s="2" t="n">
        <v>304</v>
      </c>
      <c r="E195" s="2" t="inlineStr">
        <is>
          <t>г</t>
        </is>
      </c>
      <c r="F195" s="4" t="n">
        <v>0</v>
      </c>
      <c r="G195" s="4" t="n">
        <v>0</v>
      </c>
    </row>
    <row r="196">
      <c r="A196" s="2" t="inlineStr">
        <is>
          <t>Дум Шурбо</t>
        </is>
      </c>
      <c r="B196" s="2" t="inlineStr"/>
      <c r="C196" s="2" t="inlineStr">
        <is>
          <t>вых</t>
        </is>
      </c>
      <c r="D196" s="2" t="n">
        <v>1000</v>
      </c>
      <c r="E196" s="2" t="inlineStr">
        <is>
          <t>г</t>
        </is>
      </c>
      <c r="F196" s="4" t="n">
        <v>0</v>
      </c>
      <c r="G196" s="4" t="n">
        <v>0</v>
      </c>
    </row>
    <row r="197">
      <c r="C197" s="3" t="inlineStr">
        <is>
          <t>ИТОГО</t>
        </is>
      </c>
      <c r="F197" s="7" t="inlineStr">
        <is>
          <t>Цена: 42.0</t>
        </is>
      </c>
      <c r="G197" s="8" t="n">
        <v>41.64</v>
      </c>
    </row>
    <row r="198"/>
    <row r="199">
      <c r="A199" s="3" t="inlineStr">
        <is>
          <t>Бедона Шурбо</t>
        </is>
      </c>
      <c r="B199" s="2" t="inlineStr">
        <is>
          <t>Супы</t>
        </is>
      </c>
      <c r="C199" s="2" t="inlineStr">
        <is>
          <t>бедона</t>
        </is>
      </c>
      <c r="D199" s="2" t="n">
        <v>170</v>
      </c>
      <c r="E199" s="2" t="inlineStr">
        <is>
          <t>г</t>
        </is>
      </c>
      <c r="F199" s="4" t="n">
        <v>230</v>
      </c>
      <c r="G199" s="4" t="n">
        <v>39.1</v>
      </c>
    </row>
    <row r="200">
      <c r="A200" s="2" t="inlineStr">
        <is>
          <t>Бедона Шурбо</t>
        </is>
      </c>
      <c r="B200" s="2" t="inlineStr"/>
      <c r="C200" s="2" t="inlineStr">
        <is>
          <t>сабзи</t>
        </is>
      </c>
      <c r="D200" s="2" t="n">
        <v>20</v>
      </c>
      <c r="E200" s="2" t="inlineStr">
        <is>
          <t>г</t>
        </is>
      </c>
      <c r="F200" s="4" t="n">
        <v>10</v>
      </c>
      <c r="G200" s="4" t="n">
        <v>0.2</v>
      </c>
    </row>
    <row r="201">
      <c r="A201" s="2" t="inlineStr">
        <is>
          <t>Бедона Шурбо</t>
        </is>
      </c>
      <c r="B201" s="2" t="inlineStr"/>
      <c r="C201" s="2" t="inlineStr">
        <is>
          <t>картошка</t>
        </is>
      </c>
      <c r="D201" s="2" t="n">
        <v>70</v>
      </c>
      <c r="E201" s="2" t="inlineStr">
        <is>
          <t>г</t>
        </is>
      </c>
      <c r="F201" s="4" t="n">
        <v>10</v>
      </c>
      <c r="G201" s="4" t="n">
        <v>0.7</v>
      </c>
    </row>
    <row r="202">
      <c r="A202" s="2" t="inlineStr">
        <is>
          <t>Бедона Шурбо</t>
        </is>
      </c>
      <c r="B202" s="2" t="inlineStr"/>
      <c r="C202" s="2" t="inlineStr">
        <is>
          <t>балгар</t>
        </is>
      </c>
      <c r="D202" s="2" t="n">
        <v>10</v>
      </c>
      <c r="E202" s="2" t="inlineStr">
        <is>
          <t>г</t>
        </is>
      </c>
      <c r="F202" s="4" t="n">
        <v>53.6</v>
      </c>
      <c r="G202" s="4" t="n">
        <v>0.54</v>
      </c>
    </row>
    <row r="203">
      <c r="A203" s="2" t="inlineStr">
        <is>
          <t>Бедона Шурбо</t>
        </is>
      </c>
      <c r="B203" s="2" t="inlineStr"/>
      <c r="C203" s="2" t="inlineStr">
        <is>
          <t>зелен</t>
        </is>
      </c>
      <c r="D203" s="2" t="n">
        <v>4</v>
      </c>
      <c r="E203" s="2" t="inlineStr">
        <is>
          <t>г</t>
        </is>
      </c>
      <c r="F203" s="4" t="n">
        <v>50</v>
      </c>
      <c r="G203" s="4" t="n">
        <v>0.2</v>
      </c>
    </row>
    <row r="204">
      <c r="A204" s="2" t="inlineStr">
        <is>
          <t>Бедона Шурбо</t>
        </is>
      </c>
      <c r="B204" s="2" t="inlineStr"/>
      <c r="C204" s="2" t="inlineStr">
        <is>
          <t>порция</t>
        </is>
      </c>
      <c r="D204" s="2" t="n">
        <v>274</v>
      </c>
      <c r="E204" s="2" t="inlineStr">
        <is>
          <t>г</t>
        </is>
      </c>
      <c r="F204" s="4" t="n">
        <v>0</v>
      </c>
      <c r="G204" s="4" t="n">
        <v>0</v>
      </c>
    </row>
    <row r="205">
      <c r="A205" s="2" t="inlineStr">
        <is>
          <t>Бедона Шурбо</t>
        </is>
      </c>
      <c r="B205" s="2" t="inlineStr"/>
      <c r="C205" s="2" t="inlineStr">
        <is>
          <t>вых</t>
        </is>
      </c>
      <c r="D205" s="2" t="n">
        <v>1000</v>
      </c>
      <c r="E205" s="2" t="inlineStr">
        <is>
          <t>г</t>
        </is>
      </c>
      <c r="F205" s="4" t="n">
        <v>0</v>
      </c>
      <c r="G205" s="4" t="n">
        <v>0</v>
      </c>
    </row>
    <row r="206">
      <c r="C206" s="3" t="inlineStr">
        <is>
          <t>ИТОГО</t>
        </is>
      </c>
      <c r="F206" s="7" t="inlineStr">
        <is>
          <t>Цена: 41.0</t>
        </is>
      </c>
      <c r="G206" s="8" t="n">
        <v>40.74</v>
      </c>
    </row>
    <row r="207"/>
    <row r="208">
      <c r="A208" s="3" t="inlineStr">
        <is>
          <t>Кавурга Шурбо</t>
        </is>
      </c>
      <c r="B208" s="2" t="inlineStr">
        <is>
          <t>Супы</t>
        </is>
      </c>
      <c r="C208" s="2" t="inlineStr">
        <is>
          <t>бар ребро</t>
        </is>
      </c>
      <c r="D208" s="2" t="n">
        <v>150</v>
      </c>
      <c r="E208" s="2" t="inlineStr">
        <is>
          <t>г</t>
        </is>
      </c>
      <c r="F208" s="4" t="n">
        <v>300</v>
      </c>
      <c r="G208" s="4" t="n">
        <v>45</v>
      </c>
    </row>
    <row r="209">
      <c r="A209" s="2" t="inlineStr">
        <is>
          <t>Кавурга Шурбо</t>
        </is>
      </c>
      <c r="B209" s="2" t="inlineStr"/>
      <c r="C209" s="2" t="inlineStr">
        <is>
          <t>сабзи</t>
        </is>
      </c>
      <c r="D209" s="2" t="n">
        <v>20</v>
      </c>
      <c r="E209" s="2" t="inlineStr">
        <is>
          <t>г</t>
        </is>
      </c>
      <c r="F209" s="4" t="n">
        <v>10</v>
      </c>
      <c r="G209" s="4" t="n">
        <v>0.2</v>
      </c>
    </row>
    <row r="210">
      <c r="A210" s="2" t="inlineStr">
        <is>
          <t>Кавурга Шурбо</t>
        </is>
      </c>
      <c r="B210" s="2" t="inlineStr"/>
      <c r="C210" s="2" t="inlineStr">
        <is>
          <t>картошка</t>
        </is>
      </c>
      <c r="D210" s="2" t="n">
        <v>70</v>
      </c>
      <c r="E210" s="2" t="inlineStr">
        <is>
          <t>г</t>
        </is>
      </c>
      <c r="F210" s="4" t="n">
        <v>10</v>
      </c>
      <c r="G210" s="4" t="n">
        <v>0.7</v>
      </c>
    </row>
    <row r="211">
      <c r="A211" s="2" t="inlineStr">
        <is>
          <t>Кавурга Шурбо</t>
        </is>
      </c>
      <c r="B211" s="2" t="inlineStr"/>
      <c r="C211" s="2" t="inlineStr">
        <is>
          <t>балгар</t>
        </is>
      </c>
      <c r="D211" s="2" t="n">
        <v>10</v>
      </c>
      <c r="E211" s="2" t="inlineStr">
        <is>
          <t>г</t>
        </is>
      </c>
      <c r="F211" s="4" t="n">
        <v>53.6</v>
      </c>
      <c r="G211" s="4" t="n">
        <v>0.54</v>
      </c>
    </row>
    <row r="212">
      <c r="A212" s="2" t="inlineStr">
        <is>
          <t>Кавурга Шурбо</t>
        </is>
      </c>
      <c r="B212" s="2" t="inlineStr"/>
      <c r="C212" s="2" t="inlineStr">
        <is>
          <t>зелен</t>
        </is>
      </c>
      <c r="D212" s="2" t="n">
        <v>4</v>
      </c>
      <c r="E212" s="2" t="inlineStr">
        <is>
          <t>г</t>
        </is>
      </c>
      <c r="F212" s="4" t="n">
        <v>50</v>
      </c>
      <c r="G212" s="4" t="n">
        <v>0.2</v>
      </c>
    </row>
    <row r="213">
      <c r="A213" s="2" t="inlineStr">
        <is>
          <t>Кавурга Шурбо</t>
        </is>
      </c>
      <c r="B213" s="2" t="inlineStr"/>
      <c r="C213" s="2" t="inlineStr">
        <is>
          <t>порция</t>
        </is>
      </c>
      <c r="D213" s="2" t="n">
        <v>254</v>
      </c>
      <c r="E213" s="2" t="inlineStr">
        <is>
          <t>г</t>
        </is>
      </c>
      <c r="F213" s="4" t="n">
        <v>0</v>
      </c>
      <c r="G213" s="4" t="n">
        <v>0</v>
      </c>
    </row>
    <row r="214">
      <c r="A214" s="2" t="inlineStr">
        <is>
          <t>Кавурга Шурбо</t>
        </is>
      </c>
      <c r="B214" s="2" t="inlineStr"/>
      <c r="C214" s="2" t="inlineStr">
        <is>
          <t>вых</t>
        </is>
      </c>
      <c r="D214" s="2" t="n">
        <v>1000</v>
      </c>
      <c r="E214" s="2" t="inlineStr">
        <is>
          <t>г</t>
        </is>
      </c>
      <c r="F214" s="4" t="n">
        <v>0</v>
      </c>
      <c r="G214" s="4" t="n">
        <v>0</v>
      </c>
    </row>
    <row r="215">
      <c r="C215" s="3" t="inlineStr">
        <is>
          <t>ИТОГО</t>
        </is>
      </c>
      <c r="F215" s="7" t="inlineStr">
        <is>
          <t>Цена: 47.0</t>
        </is>
      </c>
      <c r="G215" s="8" t="n">
        <v>46.64</v>
      </c>
    </row>
    <row r="216"/>
    <row r="217">
      <c r="A217" s="3" t="inlineStr">
        <is>
          <t>Кавурдок</t>
        </is>
      </c>
      <c r="B217" s="2" t="inlineStr">
        <is>
          <t>Вторые (готовые)</t>
        </is>
      </c>
      <c r="C217" s="2" t="inlineStr">
        <is>
          <t>лахм</t>
        </is>
      </c>
      <c r="D217" s="2" t="n">
        <v>1000</v>
      </c>
      <c r="E217" s="2" t="inlineStr">
        <is>
          <t>г</t>
        </is>
      </c>
      <c r="F217" s="4" t="n">
        <v>120</v>
      </c>
      <c r="G217" s="4" t="n">
        <v>120</v>
      </c>
    </row>
    <row r="218">
      <c r="A218" s="2" t="inlineStr">
        <is>
          <t>Кавурдок</t>
        </is>
      </c>
      <c r="B218" s="2" t="inlineStr"/>
      <c r="C218" s="2" t="inlineStr">
        <is>
          <t>ег</t>
        </is>
      </c>
      <c r="D218" s="2" t="n">
        <v>1000</v>
      </c>
      <c r="E218" s="2" t="inlineStr">
        <is>
          <t>г</t>
        </is>
      </c>
      <c r="F218" s="4" t="n">
        <v>17</v>
      </c>
      <c r="G218" s="4" t="n">
        <v>17</v>
      </c>
    </row>
    <row r="219">
      <c r="A219" s="2" t="inlineStr">
        <is>
          <t>Кавурдок</t>
        </is>
      </c>
      <c r="B219" s="2" t="inlineStr"/>
      <c r="C219" s="2" t="inlineStr">
        <is>
          <t>туз</t>
        </is>
      </c>
      <c r="D219" s="2" t="n">
        <v>18</v>
      </c>
      <c r="E219" s="2" t="inlineStr">
        <is>
          <t>г</t>
        </is>
      </c>
      <c r="F219" s="4" t="n">
        <v>2</v>
      </c>
      <c r="G219" s="4" t="n">
        <v>0.04</v>
      </c>
    </row>
    <row r="220">
      <c r="A220" s="2" t="inlineStr">
        <is>
          <t>Кавурдок</t>
        </is>
      </c>
      <c r="B220" s="2" t="inlineStr"/>
      <c r="C220" s="2" t="inlineStr">
        <is>
          <t>лаврушка</t>
        </is>
      </c>
      <c r="D220" s="2" t="n">
        <v>1</v>
      </c>
      <c r="E220" s="2" t="inlineStr">
        <is>
          <t>г</t>
        </is>
      </c>
      <c r="F220" s="4" t="n">
        <v>20</v>
      </c>
      <c r="G220" s="4" t="n">
        <v>0.02</v>
      </c>
    </row>
    <row r="221">
      <c r="C221" s="3" t="inlineStr">
        <is>
          <t>ИТОГО</t>
        </is>
      </c>
      <c r="G221" s="8" t="n">
        <v>137.06</v>
      </c>
    </row>
    <row r="222"/>
    <row r="223">
      <c r="A223" s="3" t="inlineStr">
        <is>
          <t>Жазза</t>
        </is>
      </c>
      <c r="B223" s="2" t="inlineStr">
        <is>
          <t>Вторые (готовые)</t>
        </is>
      </c>
      <c r="C223" s="2" t="inlineStr">
        <is>
          <t>мякот баранина</t>
        </is>
      </c>
      <c r="D223" s="2" t="n">
        <v>1000</v>
      </c>
      <c r="E223" s="2" t="inlineStr">
        <is>
          <t>г</t>
        </is>
      </c>
      <c r="F223" s="4" t="n">
        <v>130</v>
      </c>
      <c r="G223" s="4" t="n">
        <v>130</v>
      </c>
    </row>
    <row r="224">
      <c r="A224" s="2" t="inlineStr">
        <is>
          <t>Жазза</t>
        </is>
      </c>
      <c r="B224" s="2" t="inlineStr"/>
      <c r="C224" s="2" t="inlineStr">
        <is>
          <t>ег</t>
        </is>
      </c>
      <c r="D224" s="2" t="n">
        <v>1000</v>
      </c>
      <c r="E224" s="2" t="inlineStr">
        <is>
          <t>г</t>
        </is>
      </c>
      <c r="F224" s="4" t="n">
        <v>17</v>
      </c>
      <c r="G224" s="4" t="n">
        <v>17</v>
      </c>
    </row>
    <row r="225">
      <c r="A225" s="2" t="inlineStr">
        <is>
          <t>Жазза</t>
        </is>
      </c>
      <c r="B225" s="2" t="inlineStr"/>
      <c r="C225" s="2" t="inlineStr">
        <is>
          <t>туз</t>
        </is>
      </c>
      <c r="D225" s="2" t="n">
        <v>18</v>
      </c>
      <c r="E225" s="2" t="inlineStr">
        <is>
          <t>г</t>
        </is>
      </c>
      <c r="F225" s="4" t="n">
        <v>2</v>
      </c>
      <c r="G225" s="4" t="n">
        <v>0.04</v>
      </c>
    </row>
    <row r="226">
      <c r="A226" s="2" t="inlineStr">
        <is>
          <t>Жазза</t>
        </is>
      </c>
      <c r="B226" s="2" t="inlineStr"/>
      <c r="C226" s="2" t="inlineStr">
        <is>
          <t>лаврушка</t>
        </is>
      </c>
      <c r="D226" s="2" t="n">
        <v>1</v>
      </c>
      <c r="E226" s="2" t="inlineStr">
        <is>
          <t>г</t>
        </is>
      </c>
      <c r="F226" s="4" t="n">
        <v>20</v>
      </c>
      <c r="G226" s="4" t="n">
        <v>0.02</v>
      </c>
    </row>
    <row r="227">
      <c r="C227" s="3" t="inlineStr">
        <is>
          <t>ИТОГО</t>
        </is>
      </c>
      <c r="G227" s="8" t="n">
        <v>147.06</v>
      </c>
    </row>
    <row r="228"/>
    <row r="229">
      <c r="A229" s="3" t="inlineStr">
        <is>
          <t>Ребришки</t>
        </is>
      </c>
      <c r="B229" s="2" t="inlineStr">
        <is>
          <t>Вторые (готовые)</t>
        </is>
      </c>
      <c r="C229" s="2" t="inlineStr">
        <is>
          <t>ребро</t>
        </is>
      </c>
      <c r="D229" s="2" t="n">
        <v>1000</v>
      </c>
      <c r="E229" s="2" t="inlineStr">
        <is>
          <t>г</t>
        </is>
      </c>
      <c r="F229" s="4" t="n">
        <v>105</v>
      </c>
      <c r="G229" s="4" t="n">
        <v>105</v>
      </c>
    </row>
    <row r="230">
      <c r="A230" s="2" t="inlineStr">
        <is>
          <t>Ребришки</t>
        </is>
      </c>
      <c r="B230" s="2" t="inlineStr"/>
      <c r="C230" s="2" t="inlineStr">
        <is>
          <t>ег</t>
        </is>
      </c>
      <c r="D230" s="2" t="n">
        <v>1000</v>
      </c>
      <c r="E230" s="2" t="inlineStr">
        <is>
          <t>г</t>
        </is>
      </c>
      <c r="F230" s="4" t="n">
        <v>17</v>
      </c>
      <c r="G230" s="4" t="n">
        <v>17</v>
      </c>
    </row>
    <row r="231">
      <c r="A231" s="2" t="inlineStr">
        <is>
          <t>Ребришки</t>
        </is>
      </c>
      <c r="B231" s="2" t="inlineStr"/>
      <c r="C231" s="2" t="inlineStr">
        <is>
          <t>туз</t>
        </is>
      </c>
      <c r="D231" s="2" t="n">
        <v>18</v>
      </c>
      <c r="E231" s="2" t="inlineStr">
        <is>
          <t>г</t>
        </is>
      </c>
      <c r="F231" s="4" t="n">
        <v>2</v>
      </c>
      <c r="G231" s="4" t="n">
        <v>0.04</v>
      </c>
    </row>
    <row r="232">
      <c r="A232" s="2" t="inlineStr">
        <is>
          <t>Ребришки</t>
        </is>
      </c>
      <c r="B232" s="2" t="inlineStr"/>
      <c r="C232" s="2" t="inlineStr">
        <is>
          <t>лаврушка</t>
        </is>
      </c>
      <c r="D232" s="2" t="n">
        <v>1</v>
      </c>
      <c r="E232" s="2" t="inlineStr">
        <is>
          <t>г</t>
        </is>
      </c>
      <c r="F232" s="4" t="n">
        <v>20</v>
      </c>
      <c r="G232" s="4" t="n">
        <v>0.02</v>
      </c>
    </row>
    <row r="233">
      <c r="C233" s="3" t="inlineStr">
        <is>
          <t>ИТОГО</t>
        </is>
      </c>
      <c r="G233" s="8" t="n">
        <v>122.06</v>
      </c>
    </row>
    <row r="234"/>
    <row r="235">
      <c r="A235" s="3" t="inlineStr">
        <is>
          <t>Илик Кавур</t>
        </is>
      </c>
      <c r="B235" s="2" t="inlineStr">
        <is>
          <t>Вторые (готовые)</t>
        </is>
      </c>
      <c r="C235" s="2" t="inlineStr">
        <is>
          <t>илик барра</t>
        </is>
      </c>
      <c r="D235" s="2" t="n">
        <v>1000</v>
      </c>
      <c r="E235" s="2" t="inlineStr">
        <is>
          <t>г</t>
        </is>
      </c>
      <c r="F235" s="4" t="n">
        <v>105</v>
      </c>
      <c r="G235" s="4" t="n">
        <v>105</v>
      </c>
    </row>
    <row r="236">
      <c r="A236" s="2" t="inlineStr">
        <is>
          <t>Илик Кавур</t>
        </is>
      </c>
      <c r="B236" s="2" t="inlineStr"/>
      <c r="C236" s="2" t="inlineStr">
        <is>
          <t>ег</t>
        </is>
      </c>
      <c r="D236" s="2" t="n">
        <v>1000</v>
      </c>
      <c r="E236" s="2" t="inlineStr">
        <is>
          <t>г</t>
        </is>
      </c>
      <c r="F236" s="4" t="n">
        <v>17</v>
      </c>
      <c r="G236" s="4" t="n">
        <v>17</v>
      </c>
    </row>
    <row r="237">
      <c r="A237" s="2" t="inlineStr">
        <is>
          <t>Илик Кавур</t>
        </is>
      </c>
      <c r="B237" s="2" t="inlineStr"/>
      <c r="C237" s="2" t="inlineStr">
        <is>
          <t>туз</t>
        </is>
      </c>
      <c r="D237" s="2" t="n">
        <v>18</v>
      </c>
      <c r="E237" s="2" t="inlineStr">
        <is>
          <t>г</t>
        </is>
      </c>
      <c r="F237" s="4" t="n">
        <v>2</v>
      </c>
      <c r="G237" s="4" t="n">
        <v>0.04</v>
      </c>
    </row>
    <row r="238">
      <c r="A238" s="2" t="inlineStr">
        <is>
          <t>Илик Кавур</t>
        </is>
      </c>
      <c r="B238" s="2" t="inlineStr"/>
      <c r="C238" s="2" t="inlineStr">
        <is>
          <t>лаврушка</t>
        </is>
      </c>
      <c r="D238" s="2" t="n">
        <v>1</v>
      </c>
      <c r="E238" s="2" t="inlineStr">
        <is>
          <t>г</t>
        </is>
      </c>
      <c r="F238" s="4" t="n">
        <v>20</v>
      </c>
      <c r="G238" s="4" t="n">
        <v>0.02</v>
      </c>
    </row>
    <row r="239">
      <c r="C239" s="3" t="inlineStr">
        <is>
          <t>ИТОГО</t>
        </is>
      </c>
      <c r="G239" s="8" t="n">
        <v>122.06</v>
      </c>
    </row>
    <row r="240"/>
    <row r="241">
      <c r="A241" s="3" t="inlineStr">
        <is>
          <t>Дум Кавур</t>
        </is>
      </c>
      <c r="B241" s="2" t="inlineStr">
        <is>
          <t>Вторые (готовые)</t>
        </is>
      </c>
      <c r="C241" s="2" t="inlineStr">
        <is>
          <t>дум</t>
        </is>
      </c>
      <c r="D241" s="2" t="n">
        <v>1000</v>
      </c>
      <c r="E241" s="2" t="inlineStr">
        <is>
          <t>г</t>
        </is>
      </c>
      <c r="F241" s="4" t="n">
        <v>60</v>
      </c>
      <c r="G241" s="4" t="n">
        <v>60</v>
      </c>
    </row>
    <row r="242">
      <c r="A242" s="2" t="inlineStr">
        <is>
          <t>Дум Кавур</t>
        </is>
      </c>
      <c r="B242" s="2" t="inlineStr"/>
      <c r="C242" s="2" t="inlineStr">
        <is>
          <t>ег</t>
        </is>
      </c>
      <c r="D242" s="2" t="n">
        <v>1000</v>
      </c>
      <c r="E242" s="2" t="inlineStr">
        <is>
          <t>г</t>
        </is>
      </c>
      <c r="F242" s="4" t="n">
        <v>17</v>
      </c>
      <c r="G242" s="4" t="n">
        <v>17</v>
      </c>
    </row>
    <row r="243">
      <c r="A243" s="2" t="inlineStr">
        <is>
          <t>Дум Кавур</t>
        </is>
      </c>
      <c r="B243" s="2" t="inlineStr"/>
      <c r="C243" s="2" t="inlineStr">
        <is>
          <t>туз</t>
        </is>
      </c>
      <c r="D243" s="2" t="n">
        <v>18</v>
      </c>
      <c r="E243" s="2" t="inlineStr">
        <is>
          <t>г</t>
        </is>
      </c>
      <c r="F243" s="4" t="n">
        <v>2</v>
      </c>
      <c r="G243" s="4" t="n">
        <v>0.04</v>
      </c>
    </row>
    <row r="244">
      <c r="A244" s="2" t="inlineStr">
        <is>
          <t>Дум Кавур</t>
        </is>
      </c>
      <c r="B244" s="2" t="inlineStr"/>
      <c r="C244" s="2" t="inlineStr">
        <is>
          <t>лаврушка</t>
        </is>
      </c>
      <c r="D244" s="2" t="n">
        <v>1</v>
      </c>
      <c r="E244" s="2" t="inlineStr">
        <is>
          <t>г</t>
        </is>
      </c>
      <c r="F244" s="4" t="n">
        <v>20</v>
      </c>
      <c r="G244" s="4" t="n">
        <v>0.02</v>
      </c>
    </row>
    <row r="245">
      <c r="C245" s="3" t="inlineStr">
        <is>
          <t>ИТОГО</t>
        </is>
      </c>
      <c r="G245" s="8" t="n">
        <v>77.06</v>
      </c>
    </row>
    <row r="246"/>
    <row r="247">
      <c r="A247" s="3" t="inlineStr">
        <is>
          <t>Буйин Куй</t>
        </is>
      </c>
      <c r="B247" s="2" t="inlineStr">
        <is>
          <t>Вторые (готовые)</t>
        </is>
      </c>
      <c r="C247" s="2" t="inlineStr">
        <is>
          <t>буйин</t>
        </is>
      </c>
      <c r="D247" s="2" t="n">
        <v>1000</v>
      </c>
      <c r="E247" s="2" t="inlineStr">
        <is>
          <t>г</t>
        </is>
      </c>
      <c r="F247" s="4" t="n">
        <v>105</v>
      </c>
      <c r="G247" s="4" t="n">
        <v>105</v>
      </c>
    </row>
    <row r="248">
      <c r="A248" s="2" t="inlineStr">
        <is>
          <t>Буйин Куй</t>
        </is>
      </c>
      <c r="B248" s="2" t="inlineStr"/>
      <c r="C248" s="2" t="inlineStr">
        <is>
          <t>ег</t>
        </is>
      </c>
      <c r="D248" s="2" t="n">
        <v>1000</v>
      </c>
      <c r="E248" s="2" t="inlineStr">
        <is>
          <t>г</t>
        </is>
      </c>
      <c r="F248" s="4" t="n">
        <v>17</v>
      </c>
      <c r="G248" s="4" t="n">
        <v>17</v>
      </c>
    </row>
    <row r="249">
      <c r="A249" s="2" t="inlineStr">
        <is>
          <t>Буйин Куй</t>
        </is>
      </c>
      <c r="B249" s="2" t="inlineStr"/>
      <c r="C249" s="2" t="inlineStr">
        <is>
          <t>туз</t>
        </is>
      </c>
      <c r="D249" s="2" t="n">
        <v>18</v>
      </c>
      <c r="E249" s="2" t="inlineStr">
        <is>
          <t>г</t>
        </is>
      </c>
      <c r="F249" s="4" t="n">
        <v>2</v>
      </c>
      <c r="G249" s="4" t="n">
        <v>0.04</v>
      </c>
    </row>
    <row r="250">
      <c r="A250" s="2" t="inlineStr">
        <is>
          <t>Буйин Куй</t>
        </is>
      </c>
      <c r="B250" s="2" t="inlineStr"/>
      <c r="C250" s="2" t="inlineStr">
        <is>
          <t>лаврушка</t>
        </is>
      </c>
      <c r="D250" s="2" t="n">
        <v>1</v>
      </c>
      <c r="E250" s="2" t="inlineStr">
        <is>
          <t>г</t>
        </is>
      </c>
      <c r="F250" s="4" t="n">
        <v>20</v>
      </c>
      <c r="G250" s="4" t="n">
        <v>0.02</v>
      </c>
    </row>
    <row r="251">
      <c r="C251" s="3" t="inlineStr">
        <is>
          <t>ИТОГО</t>
        </is>
      </c>
      <c r="G251" s="8" t="n">
        <v>122.06</v>
      </c>
    </row>
    <row r="252"/>
    <row r="253">
      <c r="A253" s="3" t="inlineStr">
        <is>
          <t>Бедона Кавур</t>
        </is>
      </c>
      <c r="B253" s="2" t="inlineStr">
        <is>
          <t>Вторые (готовые)</t>
        </is>
      </c>
      <c r="C253" s="2" t="inlineStr">
        <is>
          <t>бедона</t>
        </is>
      </c>
      <c r="D253" s="2" t="n">
        <v>1000</v>
      </c>
      <c r="E253" s="2" t="inlineStr">
        <is>
          <t>г</t>
        </is>
      </c>
      <c r="F253" s="4" t="n">
        <v>90</v>
      </c>
      <c r="G253" s="4" t="n">
        <v>90</v>
      </c>
    </row>
    <row r="254">
      <c r="A254" s="2" t="inlineStr">
        <is>
          <t>Бедона Кавур</t>
        </is>
      </c>
      <c r="B254" s="2" t="inlineStr"/>
      <c r="C254" s="2" t="inlineStr">
        <is>
          <t>ег</t>
        </is>
      </c>
      <c r="D254" s="2" t="n">
        <v>1000</v>
      </c>
      <c r="E254" s="2" t="inlineStr">
        <is>
          <t>г</t>
        </is>
      </c>
      <c r="F254" s="4" t="n">
        <v>17</v>
      </c>
      <c r="G254" s="4" t="n">
        <v>17</v>
      </c>
    </row>
    <row r="255">
      <c r="A255" s="2" t="inlineStr">
        <is>
          <t>Бедона Кавур</t>
        </is>
      </c>
      <c r="B255" s="2" t="inlineStr"/>
      <c r="C255" s="2" t="inlineStr">
        <is>
          <t>туз</t>
        </is>
      </c>
      <c r="D255" s="2" t="n">
        <v>18</v>
      </c>
      <c r="E255" s="2" t="inlineStr">
        <is>
          <t>г</t>
        </is>
      </c>
      <c r="F255" s="4" t="n">
        <v>2</v>
      </c>
      <c r="G255" s="4" t="n">
        <v>0.04</v>
      </c>
    </row>
    <row r="256">
      <c r="A256" s="2" t="inlineStr">
        <is>
          <t>Бедона Кавур</t>
        </is>
      </c>
      <c r="B256" s="2" t="inlineStr"/>
      <c r="C256" s="2" t="inlineStr">
        <is>
          <t>лаврушка</t>
        </is>
      </c>
      <c r="D256" s="2" t="n">
        <v>1</v>
      </c>
      <c r="E256" s="2" t="inlineStr">
        <is>
          <t>г</t>
        </is>
      </c>
      <c r="F256" s="4" t="n">
        <v>20</v>
      </c>
      <c r="G256" s="4" t="n">
        <v>0.02</v>
      </c>
    </row>
    <row r="257">
      <c r="A257" s="2" t="inlineStr">
        <is>
          <t>Бедона Кавур</t>
        </is>
      </c>
      <c r="B257" s="2" t="inlineStr"/>
      <c r="C257" s="2" t="inlineStr">
        <is>
          <t>фарш</t>
        </is>
      </c>
      <c r="D257" s="2" t="n">
        <v>300</v>
      </c>
      <c r="E257" s="2" t="inlineStr">
        <is>
          <t>г</t>
        </is>
      </c>
      <c r="F257" s="4" t="n">
        <v>95.59999999999999</v>
      </c>
      <c r="G257" s="4" t="n">
        <v>28.68</v>
      </c>
    </row>
    <row r="258">
      <c r="C258" s="3" t="inlineStr">
        <is>
          <t>ИТОГО</t>
        </is>
      </c>
      <c r="G258" s="8" t="n">
        <v>135.74</v>
      </c>
    </row>
    <row r="259"/>
    <row r="260">
      <c r="A260" s="3" t="inlineStr">
        <is>
          <t>Казон Кавурдок</t>
        </is>
      </c>
      <c r="B260" s="2" t="inlineStr">
        <is>
          <t>Вторые (готовые)</t>
        </is>
      </c>
      <c r="C260" s="2" t="inlineStr">
        <is>
          <t>лахм</t>
        </is>
      </c>
      <c r="D260" s="2" t="n">
        <v>1000</v>
      </c>
      <c r="E260" s="2" t="inlineStr">
        <is>
          <t>г</t>
        </is>
      </c>
      <c r="F260" s="4" t="n">
        <v>120</v>
      </c>
      <c r="G260" s="4" t="n">
        <v>120</v>
      </c>
    </row>
    <row r="261">
      <c r="A261" s="2" t="inlineStr">
        <is>
          <t>Казон Кавурдок</t>
        </is>
      </c>
      <c r="B261" s="2" t="inlineStr"/>
      <c r="C261" s="2" t="inlineStr">
        <is>
          <t>ег</t>
        </is>
      </c>
      <c r="D261" s="2" t="n">
        <v>1000</v>
      </c>
      <c r="E261" s="2" t="inlineStr">
        <is>
          <t>г</t>
        </is>
      </c>
      <c r="F261" s="4" t="n">
        <v>17</v>
      </c>
      <c r="G261" s="4" t="n">
        <v>17</v>
      </c>
    </row>
    <row r="262">
      <c r="A262" s="2" t="inlineStr">
        <is>
          <t>Казон Кавурдок</t>
        </is>
      </c>
      <c r="B262" s="2" t="inlineStr"/>
      <c r="C262" s="2" t="inlineStr">
        <is>
          <t>туз</t>
        </is>
      </c>
      <c r="D262" s="2" t="n">
        <v>18</v>
      </c>
      <c r="E262" s="2" t="inlineStr">
        <is>
          <t>г</t>
        </is>
      </c>
      <c r="F262" s="4" t="n">
        <v>2</v>
      </c>
      <c r="G262" s="4" t="n">
        <v>0.04</v>
      </c>
    </row>
    <row r="263">
      <c r="A263" s="2" t="inlineStr">
        <is>
          <t>Казон Кавурдок</t>
        </is>
      </c>
      <c r="B263" s="2" t="inlineStr"/>
      <c r="C263" s="2" t="inlineStr">
        <is>
          <t>лаврушка</t>
        </is>
      </c>
      <c r="D263" s="2" t="n">
        <v>1</v>
      </c>
      <c r="E263" s="2" t="inlineStr">
        <is>
          <t>г</t>
        </is>
      </c>
      <c r="F263" s="4" t="n">
        <v>20</v>
      </c>
      <c r="G263" s="4" t="n">
        <v>0.02</v>
      </c>
    </row>
    <row r="264">
      <c r="A264" s="2" t="inlineStr">
        <is>
          <t>Казон Кавурдок</t>
        </is>
      </c>
      <c r="B264" s="2" t="inlineStr"/>
      <c r="C264" s="2" t="inlineStr">
        <is>
          <t>картошка</t>
        </is>
      </c>
      <c r="D264" s="2" t="n">
        <v>200</v>
      </c>
      <c r="E264" s="2" t="inlineStr">
        <is>
          <t>г</t>
        </is>
      </c>
      <c r="F264" s="4" t="n">
        <v>10</v>
      </c>
      <c r="G264" s="4" t="n">
        <v>2</v>
      </c>
    </row>
    <row r="265">
      <c r="C265" s="3" t="inlineStr">
        <is>
          <t>ИТОГО</t>
        </is>
      </c>
      <c r="G265" s="8" t="n">
        <v>139.06</v>
      </c>
    </row>
    <row r="266"/>
    <row r="267">
      <c r="A267" s="3" t="inlineStr">
        <is>
          <t>Казон Кабо Баранина</t>
        </is>
      </c>
      <c r="B267" s="2" t="inlineStr">
        <is>
          <t>Вторые (готовые)</t>
        </is>
      </c>
      <c r="C267" s="2" t="inlineStr">
        <is>
          <t>мякот баранина</t>
        </is>
      </c>
      <c r="D267" s="2" t="n">
        <v>1000</v>
      </c>
      <c r="E267" s="2" t="inlineStr">
        <is>
          <t>г</t>
        </is>
      </c>
      <c r="F267" s="4" t="n">
        <v>130</v>
      </c>
      <c r="G267" s="4" t="n">
        <v>130</v>
      </c>
    </row>
    <row r="268">
      <c r="A268" s="2" t="inlineStr">
        <is>
          <t>Казон Кабо Баранина</t>
        </is>
      </c>
      <c r="B268" s="2" t="inlineStr"/>
      <c r="C268" s="2" t="inlineStr">
        <is>
          <t>ег</t>
        </is>
      </c>
      <c r="D268" s="2" t="n">
        <v>1000</v>
      </c>
      <c r="E268" s="2" t="inlineStr">
        <is>
          <t>г</t>
        </is>
      </c>
      <c r="F268" s="4" t="n">
        <v>17</v>
      </c>
      <c r="G268" s="4" t="n">
        <v>17</v>
      </c>
    </row>
    <row r="269">
      <c r="A269" s="2" t="inlineStr">
        <is>
          <t>Казон Кабо Баранина</t>
        </is>
      </c>
      <c r="B269" s="2" t="inlineStr"/>
      <c r="C269" s="2" t="inlineStr">
        <is>
          <t>туз</t>
        </is>
      </c>
      <c r="D269" s="2" t="n">
        <v>18</v>
      </c>
      <c r="E269" s="2" t="inlineStr">
        <is>
          <t>г</t>
        </is>
      </c>
      <c r="F269" s="4" t="n">
        <v>2</v>
      </c>
      <c r="G269" s="4" t="n">
        <v>0.04</v>
      </c>
    </row>
    <row r="270">
      <c r="A270" s="2" t="inlineStr">
        <is>
          <t>Казон Кабо Баранина</t>
        </is>
      </c>
      <c r="B270" s="2" t="inlineStr"/>
      <c r="C270" s="2" t="inlineStr">
        <is>
          <t>лаврушка</t>
        </is>
      </c>
      <c r="D270" s="2" t="n">
        <v>1</v>
      </c>
      <c r="E270" s="2" t="inlineStr">
        <is>
          <t>г</t>
        </is>
      </c>
      <c r="F270" s="4" t="n">
        <v>20</v>
      </c>
      <c r="G270" s="4" t="n">
        <v>0.02</v>
      </c>
    </row>
    <row r="271">
      <c r="A271" s="2" t="inlineStr">
        <is>
          <t>Казон Кабо Баранина</t>
        </is>
      </c>
      <c r="B271" s="2" t="inlineStr"/>
      <c r="C271" s="2" t="inlineStr">
        <is>
          <t>картошка</t>
        </is>
      </c>
      <c r="D271" s="2" t="n">
        <v>200</v>
      </c>
      <c r="E271" s="2" t="inlineStr">
        <is>
          <t>г</t>
        </is>
      </c>
      <c r="F271" s="4" t="n">
        <v>10</v>
      </c>
      <c r="G271" s="4" t="n">
        <v>2</v>
      </c>
    </row>
    <row r="272">
      <c r="C272" s="3" t="inlineStr">
        <is>
          <t>ИТОГО</t>
        </is>
      </c>
      <c r="G272" s="8" t="n">
        <v>149.06</v>
      </c>
    </row>
    <row r="273"/>
    <row r="274">
      <c r="A274" s="3" t="inlineStr">
        <is>
          <t>Котлет Сыром</t>
        </is>
      </c>
      <c r="B274" s="2" t="inlineStr">
        <is>
          <t>Вторые (готовые)</t>
        </is>
      </c>
      <c r="C274" s="2" t="inlineStr">
        <is>
          <t>фарш</t>
        </is>
      </c>
      <c r="D274" s="2" t="n">
        <v>1000</v>
      </c>
      <c r="E274" s="2" t="inlineStr">
        <is>
          <t>г</t>
        </is>
      </c>
      <c r="F274" s="4" t="n">
        <v>95.59999999999999</v>
      </c>
      <c r="G274" s="4" t="n">
        <v>95.59999999999999</v>
      </c>
    </row>
    <row r="275">
      <c r="A275" s="2" t="inlineStr">
        <is>
          <t>Котлет Сыром</t>
        </is>
      </c>
      <c r="B275" s="2" t="inlineStr"/>
      <c r="C275" s="2" t="inlineStr">
        <is>
          <t>думба</t>
        </is>
      </c>
      <c r="D275" s="2" t="n">
        <v>100</v>
      </c>
      <c r="E275" s="2" t="inlineStr">
        <is>
          <t>г</t>
        </is>
      </c>
      <c r="F275" s="4" t="n">
        <v>100</v>
      </c>
      <c r="G275" s="4" t="n">
        <v>10</v>
      </c>
    </row>
    <row r="276">
      <c r="A276" s="2" t="inlineStr">
        <is>
          <t>Котлет Сыром</t>
        </is>
      </c>
      <c r="B276" s="2" t="inlineStr"/>
      <c r="C276" s="2" t="inlineStr">
        <is>
          <t>тухум</t>
        </is>
      </c>
      <c r="D276" s="2" t="n">
        <v>40</v>
      </c>
      <c r="E276" s="2" t="inlineStr">
        <is>
          <t>г</t>
        </is>
      </c>
      <c r="F276" s="4" t="n">
        <v>40</v>
      </c>
      <c r="G276" s="4" t="n">
        <v>1.6</v>
      </c>
    </row>
    <row r="277">
      <c r="A277" s="2" t="inlineStr">
        <is>
          <t>Котлет Сыром</t>
        </is>
      </c>
      <c r="B277" s="2" t="inlineStr"/>
      <c r="C277" s="2" t="inlineStr">
        <is>
          <t>хлеб</t>
        </is>
      </c>
      <c r="D277" s="2" t="n">
        <v>50</v>
      </c>
      <c r="E277" s="2" t="inlineStr">
        <is>
          <t>г</t>
        </is>
      </c>
      <c r="F277" s="4" t="n">
        <v>10</v>
      </c>
      <c r="G277" s="4" t="n">
        <v>0.5</v>
      </c>
    </row>
    <row r="278">
      <c r="A278" s="2" t="inlineStr">
        <is>
          <t>Котлет Сыром</t>
        </is>
      </c>
      <c r="B278" s="2" t="inlineStr"/>
      <c r="C278" s="2" t="inlineStr">
        <is>
          <t>сут</t>
        </is>
      </c>
      <c r="D278" s="2" t="n">
        <v>50</v>
      </c>
      <c r="E278" s="2" t="inlineStr">
        <is>
          <t>г</t>
        </is>
      </c>
      <c r="F278" s="4" t="n">
        <v>10</v>
      </c>
      <c r="G278" s="4" t="n">
        <v>0.5</v>
      </c>
    </row>
    <row r="279">
      <c r="A279" s="2" t="inlineStr">
        <is>
          <t>Котлет Сыром</t>
        </is>
      </c>
      <c r="B279" s="2" t="inlineStr"/>
      <c r="C279" s="2" t="inlineStr">
        <is>
          <t>помидор</t>
        </is>
      </c>
      <c r="D279" s="2" t="n">
        <v>30</v>
      </c>
      <c r="E279" s="2" t="inlineStr">
        <is>
          <t>г</t>
        </is>
      </c>
      <c r="F279" s="4" t="n">
        <v>30</v>
      </c>
      <c r="G279" s="4" t="n">
        <v>0.9</v>
      </c>
    </row>
    <row r="280">
      <c r="A280" s="2" t="inlineStr">
        <is>
          <t>Котлет Сыром</t>
        </is>
      </c>
      <c r="B280" s="2" t="inlineStr"/>
      <c r="C280" s="2" t="inlineStr">
        <is>
          <t>маенез</t>
        </is>
      </c>
      <c r="D280" s="2" t="n">
        <v>100</v>
      </c>
      <c r="E280" s="2" t="inlineStr">
        <is>
          <t>г</t>
        </is>
      </c>
      <c r="F280" s="4" t="n">
        <v>20.5</v>
      </c>
      <c r="G280" s="4" t="n">
        <v>2.05</v>
      </c>
    </row>
    <row r="281">
      <c r="A281" s="2" t="inlineStr">
        <is>
          <t>Котлет Сыром</t>
        </is>
      </c>
      <c r="B281" s="2" t="inlineStr"/>
      <c r="C281" s="2" t="inlineStr">
        <is>
          <t>сыр</t>
        </is>
      </c>
      <c r="D281" s="2" t="n">
        <v>250</v>
      </c>
      <c r="E281" s="2" t="inlineStr">
        <is>
          <t>г</t>
        </is>
      </c>
      <c r="F281" s="4" t="n">
        <v>70</v>
      </c>
      <c r="G281" s="4" t="n">
        <v>17.5</v>
      </c>
    </row>
    <row r="282">
      <c r="A282" s="2" t="inlineStr">
        <is>
          <t>Котлет Сыром</t>
        </is>
      </c>
      <c r="B282" s="2" t="inlineStr"/>
      <c r="C282" s="2" t="inlineStr">
        <is>
          <t>кавурдок</t>
        </is>
      </c>
      <c r="D282" s="2" t="n">
        <v>100</v>
      </c>
      <c r="E282" s="2" t="inlineStr">
        <is>
          <t>г</t>
        </is>
      </c>
      <c r="F282" s="4" t="n">
        <v>300</v>
      </c>
      <c r="G282" s="4" t="n">
        <v>30</v>
      </c>
    </row>
    <row r="283">
      <c r="C283" s="3" t="inlineStr">
        <is>
          <t>ИТОГО</t>
        </is>
      </c>
      <c r="G283" s="8" t="n">
        <v>20.29</v>
      </c>
    </row>
    <row r="284"/>
    <row r="285">
      <c r="A285" s="3" t="inlineStr">
        <is>
          <t>Плов Ташкентский</t>
        </is>
      </c>
      <c r="B285" s="2" t="inlineStr">
        <is>
          <t>Вторые (готовые)</t>
        </is>
      </c>
      <c r="C285" s="2" t="inlineStr">
        <is>
          <t>лахм</t>
        </is>
      </c>
      <c r="D285" s="2" t="n">
        <v>800</v>
      </c>
      <c r="E285" s="2" t="inlineStr">
        <is>
          <t>г</t>
        </is>
      </c>
      <c r="F285" s="4" t="n">
        <v>120</v>
      </c>
      <c r="G285" s="4" t="n">
        <v>96</v>
      </c>
    </row>
    <row r="286">
      <c r="A286" s="2" t="inlineStr">
        <is>
          <t>Плов Ташкентский</t>
        </is>
      </c>
      <c r="B286" s="2" t="inlineStr"/>
      <c r="C286" s="2" t="inlineStr">
        <is>
          <t>ег</t>
        </is>
      </c>
      <c r="D286" s="2" t="n">
        <v>300</v>
      </c>
      <c r="E286" s="2" t="inlineStr">
        <is>
          <t>г</t>
        </is>
      </c>
      <c r="F286" s="4" t="n">
        <v>19</v>
      </c>
      <c r="G286" s="4" t="n">
        <v>5.7</v>
      </c>
    </row>
    <row r="287">
      <c r="A287" s="2" t="inlineStr">
        <is>
          <t>Плов Ташкентский</t>
        </is>
      </c>
      <c r="B287" s="2" t="inlineStr"/>
      <c r="C287" s="2" t="inlineStr">
        <is>
          <t>туз</t>
        </is>
      </c>
      <c r="D287" s="2" t="n">
        <v>18</v>
      </c>
      <c r="E287" s="2" t="inlineStr">
        <is>
          <t>г</t>
        </is>
      </c>
      <c r="F287" s="4" t="n">
        <v>2</v>
      </c>
      <c r="G287" s="4" t="n">
        <v>0.04</v>
      </c>
    </row>
    <row r="288">
      <c r="A288" s="2" t="inlineStr">
        <is>
          <t>Плов Ташкентский</t>
        </is>
      </c>
      <c r="B288" s="2" t="inlineStr"/>
      <c r="C288" s="2" t="inlineStr">
        <is>
          <t>думба</t>
        </is>
      </c>
      <c r="D288" s="2" t="n">
        <v>200</v>
      </c>
      <c r="E288" s="2" t="inlineStr">
        <is>
          <t>г</t>
        </is>
      </c>
      <c r="F288" s="4" t="n">
        <v>105</v>
      </c>
      <c r="G288" s="4" t="n">
        <v>21</v>
      </c>
    </row>
    <row r="289">
      <c r="A289" s="2" t="inlineStr">
        <is>
          <t>Плов Ташкентский</t>
        </is>
      </c>
      <c r="B289" s="2" t="inlineStr"/>
      <c r="C289" s="2" t="inlineStr">
        <is>
          <t>гурунч</t>
        </is>
      </c>
      <c r="D289" s="2" t="n">
        <v>1000</v>
      </c>
      <c r="E289" s="2" t="inlineStr">
        <is>
          <t>г</t>
        </is>
      </c>
      <c r="F289" s="4" t="n">
        <v>25</v>
      </c>
      <c r="G289" s="4" t="n">
        <v>25</v>
      </c>
    </row>
    <row r="290">
      <c r="A290" s="2" t="inlineStr">
        <is>
          <t>Плов Ташкентский</t>
        </is>
      </c>
      <c r="B290" s="2" t="inlineStr"/>
      <c r="C290" s="2" t="inlineStr">
        <is>
          <t>сабзи кизил</t>
        </is>
      </c>
      <c r="D290" s="2" t="n">
        <v>500</v>
      </c>
      <c r="E290" s="2" t="inlineStr">
        <is>
          <t>г</t>
        </is>
      </c>
      <c r="F290" s="4" t="n">
        <v>5</v>
      </c>
      <c r="G290" s="4" t="n">
        <v>2.5</v>
      </c>
    </row>
    <row r="291">
      <c r="A291" s="2" t="inlineStr">
        <is>
          <t>Плов Ташкентский</t>
        </is>
      </c>
      <c r="B291" s="2" t="inlineStr"/>
      <c r="C291" s="2" t="inlineStr">
        <is>
          <t>сабзи сарик</t>
        </is>
      </c>
      <c r="D291" s="2" t="n">
        <v>500</v>
      </c>
      <c r="E291" s="2" t="inlineStr">
        <is>
          <t>г</t>
        </is>
      </c>
      <c r="F291" s="4" t="n">
        <v>5</v>
      </c>
      <c r="G291" s="4" t="n">
        <v>2.5</v>
      </c>
    </row>
    <row r="292">
      <c r="A292" s="2" t="inlineStr">
        <is>
          <t>Плов Ташкентский</t>
        </is>
      </c>
      <c r="B292" s="2" t="inlineStr"/>
      <c r="C292" s="2" t="inlineStr">
        <is>
          <t>маез</t>
        </is>
      </c>
      <c r="D292" s="2" t="n">
        <v>150</v>
      </c>
      <c r="E292" s="2" t="inlineStr">
        <is>
          <t>г</t>
        </is>
      </c>
      <c r="F292" s="4" t="n">
        <v>25</v>
      </c>
      <c r="G292" s="4" t="n">
        <v>3.75</v>
      </c>
    </row>
    <row r="293">
      <c r="A293" s="2" t="inlineStr">
        <is>
          <t>Плов Ташкентский</t>
        </is>
      </c>
      <c r="B293" s="2" t="inlineStr"/>
      <c r="C293" s="2" t="inlineStr">
        <is>
          <t>пиез</t>
        </is>
      </c>
      <c r="D293" s="2" t="n">
        <v>500</v>
      </c>
      <c r="E293" s="2" t="inlineStr">
        <is>
          <t>г</t>
        </is>
      </c>
      <c r="F293" s="4" t="n">
        <v>5</v>
      </c>
      <c r="G293" s="4" t="n">
        <v>2.5</v>
      </c>
    </row>
    <row r="294">
      <c r="A294" s="2" t="inlineStr">
        <is>
          <t>Плов Ташкентский</t>
        </is>
      </c>
      <c r="B294" s="2" t="inlineStr"/>
      <c r="C294" s="2" t="inlineStr">
        <is>
          <t>нухот</t>
        </is>
      </c>
      <c r="D294" s="2" t="n">
        <v>300</v>
      </c>
      <c r="E294" s="2" t="inlineStr">
        <is>
          <t>г</t>
        </is>
      </c>
      <c r="F294" s="4" t="n">
        <v>10</v>
      </c>
      <c r="G294" s="4" t="n">
        <v>3</v>
      </c>
    </row>
    <row r="295">
      <c r="A295" s="2" t="inlineStr">
        <is>
          <t>Плов Ташкентский</t>
        </is>
      </c>
      <c r="B295" s="2" t="inlineStr"/>
      <c r="C295" s="2" t="inlineStr">
        <is>
          <t>зигр</t>
        </is>
      </c>
      <c r="D295" s="2" t="n">
        <v>100</v>
      </c>
      <c r="E295" s="2" t="inlineStr">
        <is>
          <t>г</t>
        </is>
      </c>
      <c r="F295" s="4" t="n">
        <v>30</v>
      </c>
      <c r="G295" s="4" t="n">
        <v>3</v>
      </c>
    </row>
    <row r="296">
      <c r="A296" s="2" t="inlineStr">
        <is>
          <t>Плов Ташкентский</t>
        </is>
      </c>
      <c r="B296" s="2" t="inlineStr"/>
      <c r="C296" s="2" t="inlineStr">
        <is>
          <t>чиснок</t>
        </is>
      </c>
      <c r="D296" s="2" t="n">
        <v>100</v>
      </c>
      <c r="E296" s="2" t="inlineStr">
        <is>
          <t>г</t>
        </is>
      </c>
      <c r="F296" s="4" t="n">
        <v>20</v>
      </c>
      <c r="G296" s="4" t="n">
        <v>2</v>
      </c>
    </row>
    <row r="297">
      <c r="A297" s="2" t="inlineStr">
        <is>
          <t>Плов Ташкентский</t>
        </is>
      </c>
      <c r="B297" s="2" t="inlineStr"/>
      <c r="C297" s="2" t="inlineStr">
        <is>
          <t>калампир</t>
        </is>
      </c>
      <c r="D297" s="2" t="n">
        <v>50</v>
      </c>
      <c r="E297" s="2" t="inlineStr">
        <is>
          <t>г</t>
        </is>
      </c>
      <c r="F297" s="4" t="n">
        <v>50</v>
      </c>
      <c r="G297" s="4" t="n">
        <v>2.5</v>
      </c>
    </row>
    <row r="298">
      <c r="A298" s="2" t="inlineStr">
        <is>
          <t>Плов Ташкентский</t>
        </is>
      </c>
      <c r="B298" s="2" t="inlineStr"/>
      <c r="C298" s="2" t="inlineStr">
        <is>
          <t>кази</t>
        </is>
      </c>
      <c r="D298" s="2" t="n">
        <v>130</v>
      </c>
      <c r="E298" s="2" t="inlineStr">
        <is>
          <t>г</t>
        </is>
      </c>
      <c r="F298" s="4" t="n">
        <v>135</v>
      </c>
      <c r="G298" s="4" t="n">
        <v>17.55</v>
      </c>
    </row>
    <row r="299">
      <c r="A299" s="2" t="inlineStr">
        <is>
          <t>Плов Ташкентский</t>
        </is>
      </c>
      <c r="B299" s="2" t="inlineStr"/>
      <c r="C299" s="2" t="inlineStr">
        <is>
          <t>тухум</t>
        </is>
      </c>
      <c r="D299" s="2" t="n">
        <v>250</v>
      </c>
      <c r="E299" s="2" t="inlineStr">
        <is>
          <t>г</t>
        </is>
      </c>
      <c r="F299" s="4" t="n">
        <v>40</v>
      </c>
      <c r="G299" s="4" t="n">
        <v>10</v>
      </c>
    </row>
    <row r="300">
      <c r="A300" s="2" t="inlineStr">
        <is>
          <t>Плов Ташкентский</t>
        </is>
      </c>
      <c r="B300" s="2" t="inlineStr"/>
      <c r="C300" s="2" t="inlineStr">
        <is>
          <t>сув</t>
        </is>
      </c>
      <c r="D300" s="2" t="n">
        <v>750</v>
      </c>
      <c r="E300" s="2" t="inlineStr">
        <is>
          <t>г</t>
        </is>
      </c>
      <c r="F300" s="4" t="n">
        <v>0.4</v>
      </c>
      <c r="G300" s="4" t="n">
        <v>0.3</v>
      </c>
    </row>
    <row r="301">
      <c r="A301" s="2" t="inlineStr">
        <is>
          <t>Плов Ташкентский</t>
        </is>
      </c>
      <c r="B301" s="2" t="inlineStr"/>
      <c r="C301" s="2" t="inlineStr">
        <is>
          <t>салат</t>
        </is>
      </c>
      <c r="D301" s="2" t="n">
        <v>900</v>
      </c>
      <c r="E301" s="2" t="inlineStr">
        <is>
          <t>г</t>
        </is>
      </c>
      <c r="F301" s="4" t="n">
        <v>33</v>
      </c>
      <c r="G301" s="4" t="n">
        <v>29.7</v>
      </c>
    </row>
    <row r="302">
      <c r="A302" s="2" t="inlineStr">
        <is>
          <t>Плов Ташкентский</t>
        </is>
      </c>
      <c r="B302" s="2" t="inlineStr"/>
      <c r="C302" s="2" t="inlineStr">
        <is>
          <t>нон</t>
        </is>
      </c>
      <c r="D302" s="2" t="n">
        <v>1000</v>
      </c>
      <c r="E302" s="2" t="inlineStr">
        <is>
          <t>г</t>
        </is>
      </c>
      <c r="F302" s="4" t="n">
        <v>4.5</v>
      </c>
      <c r="G302" s="4" t="n">
        <v>4.5</v>
      </c>
    </row>
    <row r="303">
      <c r="C303" s="3" t="inlineStr">
        <is>
          <t>ИТОГО</t>
        </is>
      </c>
      <c r="G303" s="8" t="n">
        <v>231.54</v>
      </c>
    </row>
    <row r="304"/>
    <row r="305">
      <c r="A305" s="3" t="inlineStr">
        <is>
          <t>Тбака</t>
        </is>
      </c>
      <c r="B305" s="2" t="inlineStr">
        <is>
          <t>Вторые (готовые)</t>
        </is>
      </c>
      <c r="C305" s="2" t="inlineStr">
        <is>
          <t>жужа байзо</t>
        </is>
      </c>
      <c r="D305" s="2" t="n">
        <v>1000</v>
      </c>
      <c r="E305" s="2" t="inlineStr">
        <is>
          <t>г</t>
        </is>
      </c>
      <c r="F305" s="4" t="n">
        <v>37</v>
      </c>
      <c r="G305" s="4" t="n">
        <v>37</v>
      </c>
    </row>
    <row r="306">
      <c r="A306" s="2" t="inlineStr">
        <is>
          <t>Тбака</t>
        </is>
      </c>
      <c r="B306" s="2" t="inlineStr"/>
      <c r="C306" s="2" t="inlineStr">
        <is>
          <t>ег</t>
        </is>
      </c>
      <c r="D306" s="2" t="n">
        <v>500</v>
      </c>
      <c r="E306" s="2" t="inlineStr">
        <is>
          <t>г</t>
        </is>
      </c>
      <c r="F306" s="4" t="n">
        <v>17</v>
      </c>
      <c r="G306" s="4" t="n">
        <v>8.5</v>
      </c>
    </row>
    <row r="307">
      <c r="A307" s="2" t="inlineStr">
        <is>
          <t>Тбака</t>
        </is>
      </c>
      <c r="B307" s="2" t="inlineStr"/>
      <c r="C307" s="2" t="inlineStr">
        <is>
          <t>туз</t>
        </is>
      </c>
      <c r="D307" s="2" t="n">
        <v>18</v>
      </c>
      <c r="E307" s="2" t="inlineStr">
        <is>
          <t>г</t>
        </is>
      </c>
      <c r="F307" s="4" t="n">
        <v>2</v>
      </c>
      <c r="G307" s="4" t="n">
        <v>0.04</v>
      </c>
    </row>
    <row r="308">
      <c r="A308" s="2" t="inlineStr">
        <is>
          <t>Тбака</t>
        </is>
      </c>
      <c r="B308" s="2" t="inlineStr"/>
      <c r="C308" s="2" t="inlineStr">
        <is>
          <t>лаврушка</t>
        </is>
      </c>
      <c r="D308" s="2" t="n">
        <v>1</v>
      </c>
      <c r="E308" s="2" t="inlineStr">
        <is>
          <t>г</t>
        </is>
      </c>
      <c r="F308" s="4" t="n">
        <v>20</v>
      </c>
      <c r="G308" s="4" t="n">
        <v>0.02</v>
      </c>
    </row>
    <row r="309">
      <c r="A309" s="2" t="inlineStr">
        <is>
          <t>Тбака</t>
        </is>
      </c>
      <c r="B309" s="2" t="inlineStr"/>
      <c r="C309" s="2" t="inlineStr">
        <is>
          <t>сарег</t>
        </is>
      </c>
      <c r="D309" s="2" t="n">
        <v>200</v>
      </c>
      <c r="E309" s="2" t="inlineStr">
        <is>
          <t>г</t>
        </is>
      </c>
      <c r="F309" s="4" t="n">
        <v>40</v>
      </c>
      <c r="G309" s="4" t="n">
        <v>8</v>
      </c>
    </row>
    <row r="310">
      <c r="C310" s="3" t="inlineStr">
        <is>
          <t>ИТОГО</t>
        </is>
      </c>
      <c r="G310" s="8" t="n">
        <v>53.56</v>
      </c>
    </row>
    <row r="311"/>
    <row r="312">
      <c r="A312" s="3" t="inlineStr">
        <is>
          <t>Наим</t>
        </is>
      </c>
      <c r="B312" s="2" t="inlineStr">
        <is>
          <t>Гарниры</t>
        </is>
      </c>
      <c r="C312" s="2" t="inlineStr">
        <is>
          <t>фри</t>
        </is>
      </c>
      <c r="D312" s="2" t="n">
        <v>1000</v>
      </c>
      <c r="E312" s="2" t="inlineStr">
        <is>
          <t>г</t>
        </is>
      </c>
      <c r="F312" s="4" t="n">
        <v>0.5</v>
      </c>
      <c r="G312" s="4" t="n">
        <v>0.15</v>
      </c>
    </row>
    <row r="313">
      <c r="A313" s="2" t="inlineStr">
        <is>
          <t>Наим</t>
        </is>
      </c>
      <c r="B313" s="2" t="inlineStr"/>
      <c r="C313" s="2" t="inlineStr">
        <is>
          <t>масло</t>
        </is>
      </c>
      <c r="D313" s="2" t="n">
        <v>300</v>
      </c>
      <c r="E313" s="2" t="inlineStr">
        <is>
          <t>г</t>
        </is>
      </c>
      <c r="F313" s="4" t="n">
        <v>0</v>
      </c>
      <c r="G313" s="4" t="n">
        <v>0</v>
      </c>
    </row>
    <row r="314">
      <c r="C314" s="3" t="inlineStr">
        <is>
          <t>ИТОГО</t>
        </is>
      </c>
      <c r="G314" s="8" t="n">
        <v>0.15</v>
      </c>
    </row>
    <row r="315"/>
    <row r="316">
      <c r="A316" s="3" t="inlineStr">
        <is>
          <t>Масса Порция</t>
        </is>
      </c>
      <c r="B316" s="2" t="inlineStr">
        <is>
          <t>Гарниры</t>
        </is>
      </c>
      <c r="C316" s="2" t="inlineStr">
        <is>
          <t>0.2</t>
        </is>
      </c>
      <c r="D316" s="2" t="n">
        <v>10000</v>
      </c>
      <c r="E316" s="2" t="inlineStr">
        <is>
          <t>г</t>
        </is>
      </c>
      <c r="F316" s="4" t="n">
        <v>10</v>
      </c>
      <c r="G316" s="4" t="n">
        <v>0</v>
      </c>
    </row>
    <row r="317">
      <c r="A317" s="2" t="inlineStr">
        <is>
          <t>Масса Порция</t>
        </is>
      </c>
      <c r="B317" s="2" t="inlineStr"/>
      <c r="C317" s="2" t="inlineStr">
        <is>
          <t>прод нац</t>
        </is>
      </c>
      <c r="D317" s="2" t="n">
        <v>172727.3</v>
      </c>
      <c r="E317" s="2" t="inlineStr">
        <is>
          <t>г</t>
        </is>
      </c>
      <c r="F317" s="4" t="n">
        <v>0</v>
      </c>
      <c r="G317" s="4" t="n">
        <v>0</v>
      </c>
    </row>
    <row r="318">
      <c r="C318" s="3" t="inlineStr">
        <is>
          <t>ИТОГО</t>
        </is>
      </c>
      <c r="G318" s="8" t="n">
        <v>0</v>
      </c>
    </row>
    <row r="319"/>
    <row r="320">
      <c r="A320" s="3" t="inlineStr">
        <is>
          <t>Масса *Кг</t>
        </is>
      </c>
      <c r="B320" s="2" t="inlineStr">
        <is>
          <t>Гарниры</t>
        </is>
      </c>
      <c r="C320" s="2" t="inlineStr">
        <is>
          <t>1</t>
        </is>
      </c>
      <c r="D320" s="2" t="n">
        <v>2000</v>
      </c>
      <c r="E320" s="2" t="inlineStr">
        <is>
          <t>г</t>
        </is>
      </c>
      <c r="F320" s="4" t="n">
        <v>0.2</v>
      </c>
      <c r="G320" s="4" t="n">
        <v>10</v>
      </c>
    </row>
    <row r="321">
      <c r="C321" s="3" t="inlineStr">
        <is>
          <t>ИТОГО</t>
        </is>
      </c>
      <c r="F321" s="7" t="inlineStr">
        <is>
          <t>Цена: 6.0</t>
        </is>
      </c>
      <c r="G321" s="8" t="n">
        <v>10</v>
      </c>
    </row>
    <row r="322"/>
    <row r="323">
      <c r="A323" s="3" t="inlineStr">
        <is>
          <t>Масса*Вых</t>
        </is>
      </c>
      <c r="B323" s="2" t="inlineStr">
        <is>
          <t>Гарниры</t>
        </is>
      </c>
      <c r="C323" s="2" t="inlineStr">
        <is>
          <t>0.5</t>
        </is>
      </c>
      <c r="D323" s="2" t="n">
        <v>250</v>
      </c>
      <c r="E323" s="2" t="inlineStr">
        <is>
          <t>г</t>
        </is>
      </c>
      <c r="F323" s="4" t="n">
        <v>2</v>
      </c>
      <c r="G323" s="4" t="n">
        <v>10</v>
      </c>
    </row>
    <row r="324">
      <c r="C324" s="3" t="inlineStr">
        <is>
          <t>ИТОГО</t>
        </is>
      </c>
      <c r="G324" s="8" t="n">
        <v>10</v>
      </c>
    </row>
    <row r="325"/>
    <row r="326">
      <c r="A326" s="3" t="inlineStr">
        <is>
          <t>Кулча</t>
        </is>
      </c>
      <c r="B326" s="2" t="inlineStr">
        <is>
          <t>Завтраки</t>
        </is>
      </c>
      <c r="C326" s="2" t="inlineStr">
        <is>
          <t>ун</t>
        </is>
      </c>
      <c r="D326" s="2" t="n">
        <v>1000</v>
      </c>
      <c r="E326" s="2" t="inlineStr">
        <is>
          <t>г</t>
        </is>
      </c>
      <c r="F326" s="4" t="n">
        <v>5.9</v>
      </c>
      <c r="G326" s="4" t="n">
        <v>5.9</v>
      </c>
    </row>
    <row r="327">
      <c r="A327" s="2" t="inlineStr">
        <is>
          <t>Кулча</t>
        </is>
      </c>
      <c r="B327" s="2" t="inlineStr"/>
      <c r="C327" s="2" t="inlineStr">
        <is>
          <t>тухум</t>
        </is>
      </c>
      <c r="D327" s="2" t="n">
        <v>80</v>
      </c>
      <c r="E327" s="2" t="inlineStr">
        <is>
          <t>г</t>
        </is>
      </c>
      <c r="F327" s="4" t="n">
        <v>40</v>
      </c>
      <c r="G327" s="4" t="n">
        <v>3.2</v>
      </c>
    </row>
    <row r="328">
      <c r="A328" s="2" t="inlineStr">
        <is>
          <t>Кулча</t>
        </is>
      </c>
      <c r="B328" s="2" t="inlineStr"/>
      <c r="C328" s="2" t="inlineStr">
        <is>
          <t>ег</t>
        </is>
      </c>
      <c r="D328" s="2" t="n">
        <v>150</v>
      </c>
      <c r="E328" s="2" t="inlineStr">
        <is>
          <t>г</t>
        </is>
      </c>
      <c r="F328" s="4" t="n">
        <v>17</v>
      </c>
      <c r="G328" s="4" t="n">
        <v>2.55</v>
      </c>
    </row>
    <row r="329">
      <c r="A329" s="2" t="inlineStr">
        <is>
          <t>Кулча</t>
        </is>
      </c>
      <c r="B329" s="2" t="inlineStr"/>
      <c r="C329" s="2" t="inlineStr">
        <is>
          <t>маенез</t>
        </is>
      </c>
      <c r="D329" s="2" t="n">
        <v>50</v>
      </c>
      <c r="E329" s="2" t="inlineStr">
        <is>
          <t>г</t>
        </is>
      </c>
      <c r="F329" s="4" t="n">
        <v>20.5</v>
      </c>
      <c r="G329" s="4" t="n">
        <v>1.03</v>
      </c>
    </row>
    <row r="330">
      <c r="A330" s="2" t="inlineStr">
        <is>
          <t>Кулча</t>
        </is>
      </c>
      <c r="B330" s="2" t="inlineStr"/>
      <c r="C330" s="2" t="inlineStr">
        <is>
          <t>дрож</t>
        </is>
      </c>
      <c r="D330" s="2" t="n">
        <v>10</v>
      </c>
      <c r="E330" s="2" t="inlineStr">
        <is>
          <t>г</t>
        </is>
      </c>
      <c r="F330" s="4" t="n">
        <v>17</v>
      </c>
      <c r="G330" s="4" t="n">
        <v>0.17</v>
      </c>
    </row>
    <row r="331">
      <c r="A331" s="2" t="inlineStr">
        <is>
          <t>Кулча</t>
        </is>
      </c>
      <c r="B331" s="2" t="inlineStr"/>
      <c r="C331" s="2" t="inlineStr">
        <is>
          <t>туз</t>
        </is>
      </c>
      <c r="D331" s="2" t="n">
        <v>20</v>
      </c>
      <c r="E331" s="2" t="inlineStr">
        <is>
          <t>г</t>
        </is>
      </c>
      <c r="F331" s="4" t="n">
        <v>2</v>
      </c>
      <c r="G331" s="4" t="n">
        <v>0.04</v>
      </c>
    </row>
    <row r="332">
      <c r="A332" s="2" t="inlineStr">
        <is>
          <t>Кулча</t>
        </is>
      </c>
      <c r="B332" s="2" t="inlineStr"/>
      <c r="C332" s="2" t="inlineStr">
        <is>
          <t>сут</t>
        </is>
      </c>
      <c r="D332" s="2" t="n">
        <v>100</v>
      </c>
      <c r="E332" s="2" t="inlineStr">
        <is>
          <t>г</t>
        </is>
      </c>
      <c r="F332" s="4" t="n">
        <v>10</v>
      </c>
      <c r="G332" s="4" t="n">
        <v>1</v>
      </c>
    </row>
    <row r="333">
      <c r="A333" s="2" t="inlineStr">
        <is>
          <t>Кулча</t>
        </is>
      </c>
      <c r="B333" s="2" t="inlineStr"/>
      <c r="C333" s="2" t="inlineStr">
        <is>
          <t>сув</t>
        </is>
      </c>
      <c r="D333" s="2" t="n">
        <v>300</v>
      </c>
      <c r="E333" s="2" t="inlineStr">
        <is>
          <t>г</t>
        </is>
      </c>
      <c r="F333" s="4" t="n">
        <v>0.4</v>
      </c>
      <c r="G333" s="4" t="n">
        <v>0.12</v>
      </c>
    </row>
    <row r="334">
      <c r="A334" s="2" t="inlineStr">
        <is>
          <t>Кулча</t>
        </is>
      </c>
      <c r="B334" s="2" t="inlineStr"/>
      <c r="C334" s="2" t="inlineStr">
        <is>
          <t>кунчут</t>
        </is>
      </c>
      <c r="D334" s="2" t="n">
        <v>2</v>
      </c>
      <c r="E334" s="2" t="inlineStr">
        <is>
          <t>г</t>
        </is>
      </c>
      <c r="F334" s="4" t="n">
        <v>20</v>
      </c>
      <c r="G334" s="4" t="n">
        <v>0.04</v>
      </c>
    </row>
    <row r="335">
      <c r="A335" s="2" t="inlineStr">
        <is>
          <t>Кулча</t>
        </is>
      </c>
      <c r="B335" s="2" t="inlineStr"/>
      <c r="C335" s="2" t="inlineStr">
        <is>
          <t>шакар</t>
        </is>
      </c>
      <c r="D335" s="2" t="n">
        <v>10</v>
      </c>
      <c r="E335" s="2" t="inlineStr">
        <is>
          <t>г</t>
        </is>
      </c>
      <c r="F335" s="4" t="n">
        <v>10</v>
      </c>
      <c r="G335" s="4" t="n">
        <v>0.1</v>
      </c>
    </row>
    <row r="336">
      <c r="A336" s="2" t="inlineStr">
        <is>
          <t>Кулча</t>
        </is>
      </c>
      <c r="B336" s="2" t="inlineStr"/>
      <c r="C336" s="2" t="inlineStr">
        <is>
          <t>нац поцент</t>
        </is>
      </c>
      <c r="D336" s="2" t="n">
        <v>143787.8</v>
      </c>
      <c r="E336" s="2" t="inlineStr">
        <is>
          <t>г</t>
        </is>
      </c>
      <c r="F336" s="4" t="n">
        <v>0</v>
      </c>
      <c r="G336" s="4" t="n">
        <v>0</v>
      </c>
    </row>
    <row r="337">
      <c r="C337" s="3" t="inlineStr">
        <is>
          <t>ИТОГО</t>
        </is>
      </c>
      <c r="G337" s="8" t="n">
        <v>14.15</v>
      </c>
    </row>
    <row r="338"/>
    <row r="339">
      <c r="A339" s="3" t="inlineStr">
        <is>
          <t>Блинчик</t>
        </is>
      </c>
      <c r="B339" s="2" t="inlineStr">
        <is>
          <t>Завтраки</t>
        </is>
      </c>
      <c r="C339" s="2" t="inlineStr">
        <is>
          <t>ун</t>
        </is>
      </c>
      <c r="D339" s="2" t="n">
        <v>300</v>
      </c>
      <c r="E339" s="2" t="inlineStr">
        <is>
          <t>г</t>
        </is>
      </c>
      <c r="F339" s="4" t="n">
        <v>5.9</v>
      </c>
      <c r="G339" s="4" t="n">
        <v>1.77</v>
      </c>
    </row>
    <row r="340">
      <c r="A340" s="2" t="inlineStr">
        <is>
          <t>Блинчик</t>
        </is>
      </c>
      <c r="B340" s="2" t="inlineStr"/>
      <c r="C340" s="2" t="inlineStr">
        <is>
          <t>тухум</t>
        </is>
      </c>
      <c r="D340" s="2" t="n">
        <v>200</v>
      </c>
      <c r="E340" s="2" t="inlineStr">
        <is>
          <t>г</t>
        </is>
      </c>
      <c r="F340" s="4" t="n">
        <v>40</v>
      </c>
      <c r="G340" s="4" t="n">
        <v>8</v>
      </c>
    </row>
    <row r="341">
      <c r="A341" s="2" t="inlineStr">
        <is>
          <t>Блинчик</t>
        </is>
      </c>
      <c r="B341" s="2" t="inlineStr"/>
      <c r="C341" s="2" t="inlineStr">
        <is>
          <t>сарег</t>
        </is>
      </c>
      <c r="D341" s="2" t="n">
        <v>200</v>
      </c>
      <c r="E341" s="2" t="inlineStr">
        <is>
          <t>г</t>
        </is>
      </c>
      <c r="F341" s="4" t="n">
        <v>40</v>
      </c>
      <c r="G341" s="4" t="n">
        <v>8</v>
      </c>
    </row>
    <row r="342">
      <c r="A342" s="2" t="inlineStr">
        <is>
          <t>Блинчик</t>
        </is>
      </c>
      <c r="B342" s="2" t="inlineStr"/>
      <c r="C342" s="2" t="inlineStr">
        <is>
          <t>шакар</t>
        </is>
      </c>
      <c r="D342" s="2" t="n">
        <v>150</v>
      </c>
      <c r="E342" s="2" t="inlineStr">
        <is>
          <t>г</t>
        </is>
      </c>
      <c r="F342" s="4" t="n">
        <v>10</v>
      </c>
      <c r="G342" s="4" t="n">
        <v>1.5</v>
      </c>
    </row>
    <row r="343">
      <c r="A343" s="2" t="inlineStr">
        <is>
          <t>Блинчик</t>
        </is>
      </c>
      <c r="B343" s="2" t="inlineStr"/>
      <c r="C343" s="2" t="inlineStr">
        <is>
          <t>уксус</t>
        </is>
      </c>
      <c r="D343" s="2" t="n">
        <v>3</v>
      </c>
      <c r="E343" s="2" t="inlineStr">
        <is>
          <t>г</t>
        </is>
      </c>
      <c r="F343" s="4" t="n">
        <v>50</v>
      </c>
      <c r="G343" s="4" t="n">
        <v>0.15</v>
      </c>
    </row>
    <row r="344">
      <c r="A344" s="2" t="inlineStr">
        <is>
          <t>Блинчик</t>
        </is>
      </c>
      <c r="B344" s="2" t="inlineStr"/>
      <c r="C344" s="2" t="inlineStr">
        <is>
          <t>туз</t>
        </is>
      </c>
      <c r="D344" s="2" t="n">
        <v>20</v>
      </c>
      <c r="E344" s="2" t="inlineStr">
        <is>
          <t>г</t>
        </is>
      </c>
      <c r="F344" s="4" t="n">
        <v>2</v>
      </c>
      <c r="G344" s="4" t="n">
        <v>0.04</v>
      </c>
    </row>
    <row r="345">
      <c r="A345" s="2" t="inlineStr">
        <is>
          <t>Блинчик</t>
        </is>
      </c>
      <c r="B345" s="2" t="inlineStr"/>
      <c r="C345" s="2" t="inlineStr">
        <is>
          <t>сут</t>
        </is>
      </c>
      <c r="D345" s="2" t="n">
        <v>1000</v>
      </c>
      <c r="E345" s="2" t="inlineStr">
        <is>
          <t>г</t>
        </is>
      </c>
      <c r="F345" s="4" t="n">
        <v>10</v>
      </c>
      <c r="G345" s="4" t="n">
        <v>10</v>
      </c>
    </row>
    <row r="346">
      <c r="A346" s="2" t="inlineStr">
        <is>
          <t>Блинчик</t>
        </is>
      </c>
      <c r="B346" s="2" t="inlineStr"/>
      <c r="C346" s="2" t="inlineStr">
        <is>
          <t>содда</t>
        </is>
      </c>
      <c r="D346" s="2" t="n">
        <v>3</v>
      </c>
      <c r="E346" s="2" t="inlineStr">
        <is>
          <t>г</t>
        </is>
      </c>
      <c r="F346" s="4" t="n">
        <v>14</v>
      </c>
      <c r="G346" s="4" t="n">
        <v>0.04</v>
      </c>
    </row>
    <row r="347">
      <c r="A347" s="2" t="inlineStr">
        <is>
          <t>Блинчик</t>
        </is>
      </c>
      <c r="B347" s="2" t="inlineStr"/>
      <c r="C347" s="2" t="inlineStr">
        <is>
          <t>нац поцент</t>
        </is>
      </c>
      <c r="D347" s="2" t="n">
        <v>297430.7</v>
      </c>
      <c r="E347" s="2" t="inlineStr">
        <is>
          <t>г</t>
        </is>
      </c>
      <c r="F347" s="4" t="n">
        <v>0</v>
      </c>
      <c r="G347" s="4" t="n">
        <v>0</v>
      </c>
    </row>
    <row r="348">
      <c r="C348" s="3" t="inlineStr">
        <is>
          <t>ИТОГО</t>
        </is>
      </c>
      <c r="G348" s="8" t="n">
        <v>29.5</v>
      </c>
    </row>
    <row r="349"/>
    <row r="350">
      <c r="A350" s="3" t="inlineStr">
        <is>
          <t>Блинчик С Творогом</t>
        </is>
      </c>
      <c r="B350" s="2" t="inlineStr">
        <is>
          <t>Завтраки</t>
        </is>
      </c>
      <c r="C350" s="2" t="inlineStr">
        <is>
          <t>блиник</t>
        </is>
      </c>
      <c r="D350" s="2" t="n">
        <v>80</v>
      </c>
      <c r="E350" s="2" t="inlineStr">
        <is>
          <t>г</t>
        </is>
      </c>
      <c r="F350" s="4" t="n">
        <v>15.73</v>
      </c>
      <c r="G350" s="4" t="n">
        <v>1.26</v>
      </c>
    </row>
    <row r="351">
      <c r="A351" s="2" t="inlineStr">
        <is>
          <t>Блинчик С Творогом</t>
        </is>
      </c>
      <c r="B351" s="2" t="inlineStr"/>
      <c r="C351" s="2" t="inlineStr">
        <is>
          <t>каймак творог</t>
        </is>
      </c>
      <c r="D351" s="2" t="n">
        <v>20</v>
      </c>
      <c r="E351" s="2" t="inlineStr">
        <is>
          <t>г</t>
        </is>
      </c>
      <c r="F351" s="4" t="n">
        <v>26</v>
      </c>
      <c r="G351" s="4" t="n">
        <v>0.52</v>
      </c>
    </row>
    <row r="352">
      <c r="A352" s="2" t="inlineStr">
        <is>
          <t>Блинчик С Творогом</t>
        </is>
      </c>
      <c r="B352" s="2" t="inlineStr"/>
      <c r="C352" s="2" t="inlineStr">
        <is>
          <t>нац поцент</t>
        </is>
      </c>
      <c r="D352" s="2" t="n">
        <v>181151.6</v>
      </c>
      <c r="E352" s="2" t="inlineStr">
        <is>
          <t>г</t>
        </is>
      </c>
      <c r="F352" s="4" t="n">
        <v>0</v>
      </c>
      <c r="G352" s="4" t="n">
        <v>0</v>
      </c>
    </row>
    <row r="353">
      <c r="C353" s="3" t="inlineStr">
        <is>
          <t>ИТОГО</t>
        </is>
      </c>
      <c r="G353" s="8" t="n">
        <v>1.78</v>
      </c>
    </row>
    <row r="354"/>
    <row r="355">
      <c r="A355" s="3" t="inlineStr">
        <is>
          <t>Блинчик С Медом</t>
        </is>
      </c>
      <c r="B355" s="2" t="inlineStr">
        <is>
          <t>Завтраки</t>
        </is>
      </c>
      <c r="C355" s="2" t="inlineStr">
        <is>
          <t>блиник</t>
        </is>
      </c>
      <c r="D355" s="2" t="n">
        <v>80</v>
      </c>
      <c r="E355" s="2" t="inlineStr">
        <is>
          <t>г</t>
        </is>
      </c>
      <c r="F355" s="4" t="n">
        <v>15.73</v>
      </c>
      <c r="G355" s="4" t="n">
        <v>1.26</v>
      </c>
    </row>
    <row r="356">
      <c r="A356" s="2" t="inlineStr">
        <is>
          <t>Блинчик С Медом</t>
        </is>
      </c>
      <c r="B356" s="2" t="inlineStr"/>
      <c r="C356" s="2" t="inlineStr">
        <is>
          <t>каймак творог</t>
        </is>
      </c>
      <c r="D356" s="2" t="n">
        <v>10</v>
      </c>
      <c r="E356" s="2" t="inlineStr">
        <is>
          <t>г</t>
        </is>
      </c>
      <c r="F356" s="4" t="n">
        <v>45</v>
      </c>
      <c r="G356" s="4" t="n">
        <v>0.45</v>
      </c>
    </row>
    <row r="357">
      <c r="A357" s="2" t="inlineStr">
        <is>
          <t>Блинчик С Медом</t>
        </is>
      </c>
      <c r="B357" s="2" t="inlineStr"/>
      <c r="C357" s="2" t="inlineStr">
        <is>
          <t>нац поцент</t>
        </is>
      </c>
      <c r="D357" s="2" t="n">
        <v>192671.5</v>
      </c>
      <c r="E357" s="2" t="inlineStr">
        <is>
          <t>г</t>
        </is>
      </c>
      <c r="F357" s="4" t="n">
        <v>0</v>
      </c>
      <c r="G357" s="4" t="n">
        <v>0</v>
      </c>
    </row>
    <row r="358">
      <c r="C358" s="3" t="inlineStr">
        <is>
          <t>ИТОГО</t>
        </is>
      </c>
      <c r="G358" s="8" t="n">
        <v>1.71</v>
      </c>
    </row>
    <row r="359"/>
    <row r="360">
      <c r="A360" s="3" t="inlineStr">
        <is>
          <t>Блинчик С Мясом</t>
        </is>
      </c>
      <c r="B360" s="2" t="inlineStr">
        <is>
          <t>Завтраки</t>
        </is>
      </c>
      <c r="C360" s="2" t="inlineStr">
        <is>
          <t>блиник</t>
        </is>
      </c>
      <c r="D360" s="2" t="n">
        <v>80</v>
      </c>
      <c r="E360" s="2" t="inlineStr">
        <is>
          <t>г</t>
        </is>
      </c>
      <c r="F360" s="4" t="n">
        <v>15.73</v>
      </c>
      <c r="G360" s="4" t="n">
        <v>1.26</v>
      </c>
    </row>
    <row r="361">
      <c r="A361" s="2" t="inlineStr">
        <is>
          <t>Блинчик С Мясом</t>
        </is>
      </c>
      <c r="B361" s="2" t="inlineStr"/>
      <c r="C361" s="2" t="inlineStr">
        <is>
          <t>фарш гов</t>
        </is>
      </c>
      <c r="D361" s="2" t="n">
        <v>30</v>
      </c>
      <c r="E361" s="2" t="inlineStr">
        <is>
          <t>г</t>
        </is>
      </c>
      <c r="F361" s="4" t="n">
        <v>50</v>
      </c>
      <c r="G361" s="4" t="n">
        <v>1.5</v>
      </c>
    </row>
    <row r="362">
      <c r="A362" s="2" t="inlineStr">
        <is>
          <t>Блинчик С Мясом</t>
        </is>
      </c>
      <c r="B362" s="2" t="inlineStr"/>
      <c r="C362" s="2" t="inlineStr">
        <is>
          <t>нац поцент</t>
        </is>
      </c>
      <c r="D362" s="2" t="n">
        <v>81264.5</v>
      </c>
      <c r="E362" s="2" t="inlineStr">
        <is>
          <t>г</t>
        </is>
      </c>
      <c r="F362" s="4" t="n">
        <v>0</v>
      </c>
      <c r="G362" s="4" t="n">
        <v>0</v>
      </c>
    </row>
    <row r="363">
      <c r="C363" s="3" t="inlineStr">
        <is>
          <t>ИТОГО</t>
        </is>
      </c>
      <c r="G363" s="8" t="n">
        <v>2.76</v>
      </c>
    </row>
    <row r="364"/>
    <row r="365">
      <c r="A365" s="3" t="inlineStr">
        <is>
          <t>Каша Манная</t>
        </is>
      </c>
      <c r="B365" s="2" t="inlineStr">
        <is>
          <t>Завтраки</t>
        </is>
      </c>
      <c r="C365" s="2" t="inlineStr">
        <is>
          <t>сут</t>
        </is>
      </c>
      <c r="D365" s="2" t="n">
        <v>300</v>
      </c>
      <c r="E365" s="2" t="inlineStr">
        <is>
          <t>г</t>
        </is>
      </c>
      <c r="F365" s="4" t="n">
        <v>10</v>
      </c>
      <c r="G365" s="4" t="n">
        <v>3</v>
      </c>
    </row>
    <row r="366">
      <c r="A366" s="2" t="inlineStr">
        <is>
          <t>Каша Манная</t>
        </is>
      </c>
      <c r="B366" s="2" t="inlineStr"/>
      <c r="C366" s="2" t="inlineStr">
        <is>
          <t>курпа</t>
        </is>
      </c>
      <c r="D366" s="2" t="n">
        <v>30</v>
      </c>
      <c r="E366" s="2" t="inlineStr">
        <is>
          <t>г</t>
        </is>
      </c>
      <c r="F366" s="4" t="n">
        <v>20</v>
      </c>
      <c r="G366" s="4" t="n">
        <v>0.6</v>
      </c>
    </row>
    <row r="367">
      <c r="A367" s="2" t="inlineStr">
        <is>
          <t>Каша Манная</t>
        </is>
      </c>
      <c r="B367" s="2" t="inlineStr"/>
      <c r="C367" s="2" t="inlineStr">
        <is>
          <t>нац поцент</t>
        </is>
      </c>
      <c r="D367" s="2" t="n">
        <v>177777.8</v>
      </c>
      <c r="E367" s="2" t="inlineStr">
        <is>
          <t>г</t>
        </is>
      </c>
      <c r="F367" s="4" t="n">
        <v>0</v>
      </c>
      <c r="G367" s="4" t="n">
        <v>0</v>
      </c>
    </row>
    <row r="368">
      <c r="C368" s="3" t="inlineStr">
        <is>
          <t>ИТОГО</t>
        </is>
      </c>
      <c r="G368" s="8" t="n">
        <v>3.6</v>
      </c>
    </row>
    <row r="369"/>
    <row r="370">
      <c r="A370" s="3" t="inlineStr">
        <is>
          <t>Каша Рисовый</t>
        </is>
      </c>
      <c r="B370" s="2" t="inlineStr">
        <is>
          <t>Завтраки</t>
        </is>
      </c>
      <c r="C370" s="2" t="inlineStr">
        <is>
          <t>рис</t>
        </is>
      </c>
      <c r="D370" s="2" t="n">
        <v>100</v>
      </c>
      <c r="E370" s="2" t="inlineStr">
        <is>
          <t>г</t>
        </is>
      </c>
      <c r="F370" s="4" t="n">
        <v>10</v>
      </c>
      <c r="G370" s="4" t="n">
        <v>1</v>
      </c>
    </row>
    <row r="371">
      <c r="A371" s="2" t="inlineStr">
        <is>
          <t>Каша Рисовый</t>
        </is>
      </c>
      <c r="B371" s="2" t="inlineStr"/>
      <c r="C371" s="2" t="inlineStr">
        <is>
          <t>сут</t>
        </is>
      </c>
      <c r="D371" s="2" t="n">
        <v>300</v>
      </c>
      <c r="E371" s="2" t="inlineStr">
        <is>
          <t>г</t>
        </is>
      </c>
      <c r="F371" s="4" t="n">
        <v>10</v>
      </c>
      <c r="G371" s="4" t="n">
        <v>3</v>
      </c>
    </row>
    <row r="372">
      <c r="A372" s="2" t="inlineStr">
        <is>
          <t>Каша Рисовый</t>
        </is>
      </c>
      <c r="B372" s="2" t="inlineStr"/>
      <c r="C372" s="2" t="inlineStr">
        <is>
          <t>сарег</t>
        </is>
      </c>
      <c r="D372" s="2" t="n">
        <v>20</v>
      </c>
      <c r="E372" s="2" t="inlineStr">
        <is>
          <t>г</t>
        </is>
      </c>
      <c r="F372" s="4" t="n">
        <v>40</v>
      </c>
      <c r="G372" s="4" t="n">
        <v>0.8</v>
      </c>
    </row>
    <row r="373">
      <c r="A373" s="2" t="inlineStr">
        <is>
          <t>Каша Рисовый</t>
        </is>
      </c>
      <c r="B373" s="2" t="inlineStr"/>
      <c r="C373" s="2" t="inlineStr">
        <is>
          <t>шакар</t>
        </is>
      </c>
      <c r="D373" s="2" t="n">
        <v>30</v>
      </c>
      <c r="E373" s="2" t="inlineStr">
        <is>
          <t>г</t>
        </is>
      </c>
      <c r="F373" s="4" t="n">
        <v>10</v>
      </c>
      <c r="G373" s="4" t="n">
        <v>0.3</v>
      </c>
    </row>
    <row r="374">
      <c r="A374" s="2" t="inlineStr">
        <is>
          <t>Каша Рисовый</t>
        </is>
      </c>
      <c r="B374" s="2" t="inlineStr"/>
      <c r="C374" s="2" t="inlineStr">
        <is>
          <t>нац поцент</t>
        </is>
      </c>
      <c r="D374" s="2" t="n">
        <v>96078.39999999999</v>
      </c>
      <c r="E374" s="2" t="inlineStr">
        <is>
          <t>г</t>
        </is>
      </c>
      <c r="F374" s="4" t="n">
        <v>0</v>
      </c>
      <c r="G374" s="4" t="n">
        <v>0</v>
      </c>
    </row>
    <row r="375">
      <c r="C375" s="3" t="inlineStr">
        <is>
          <t>ИТОГО</t>
        </is>
      </c>
      <c r="G375" s="8" t="n">
        <v>5.1</v>
      </c>
    </row>
    <row r="376"/>
    <row r="377">
      <c r="A377" s="3" t="inlineStr">
        <is>
          <t>Каша Овсенная</t>
        </is>
      </c>
      <c r="B377" s="2" t="inlineStr">
        <is>
          <t>Завтраки</t>
        </is>
      </c>
      <c r="C377" s="2" t="inlineStr">
        <is>
          <t>овсянка</t>
        </is>
      </c>
      <c r="D377" s="2" t="n">
        <v>50</v>
      </c>
      <c r="E377" s="2" t="inlineStr">
        <is>
          <t>г</t>
        </is>
      </c>
      <c r="F377" s="4" t="n">
        <v>10</v>
      </c>
      <c r="G377" s="4" t="n">
        <v>0.5</v>
      </c>
    </row>
    <row r="378">
      <c r="A378" s="2" t="inlineStr">
        <is>
          <t>Каша Овсенная</t>
        </is>
      </c>
      <c r="B378" s="2" t="inlineStr"/>
      <c r="C378" s="2" t="inlineStr">
        <is>
          <t>сут</t>
        </is>
      </c>
      <c r="D378" s="2" t="n">
        <v>300</v>
      </c>
      <c r="E378" s="2" t="inlineStr">
        <is>
          <t>г</t>
        </is>
      </c>
      <c r="F378" s="4" t="n">
        <v>10</v>
      </c>
      <c r="G378" s="4" t="n">
        <v>3</v>
      </c>
    </row>
    <row r="379">
      <c r="A379" s="2" t="inlineStr">
        <is>
          <t>Каша Овсенная</t>
        </is>
      </c>
      <c r="B379" s="2" t="inlineStr"/>
      <c r="C379" s="2" t="inlineStr">
        <is>
          <t>сарег</t>
        </is>
      </c>
      <c r="D379" s="2" t="n">
        <v>20</v>
      </c>
      <c r="E379" s="2" t="inlineStr">
        <is>
          <t>г</t>
        </is>
      </c>
      <c r="F379" s="4" t="n">
        <v>40</v>
      </c>
      <c r="G379" s="4" t="n">
        <v>0.8</v>
      </c>
    </row>
    <row r="380">
      <c r="A380" s="2" t="inlineStr">
        <is>
          <t>Каша Овсенная</t>
        </is>
      </c>
      <c r="B380" s="2" t="inlineStr"/>
      <c r="C380" s="2" t="inlineStr">
        <is>
          <t>шакар</t>
        </is>
      </c>
      <c r="D380" s="2" t="n">
        <v>30</v>
      </c>
      <c r="E380" s="2" t="inlineStr">
        <is>
          <t>г</t>
        </is>
      </c>
      <c r="F380" s="4" t="n">
        <v>10</v>
      </c>
      <c r="G380" s="4" t="n">
        <v>0.3</v>
      </c>
    </row>
    <row r="381">
      <c r="A381" s="2" t="inlineStr">
        <is>
          <t>Каша Овсенная</t>
        </is>
      </c>
      <c r="B381" s="2" t="inlineStr"/>
      <c r="C381" s="2" t="inlineStr">
        <is>
          <t>нац поцент</t>
        </is>
      </c>
      <c r="D381" s="2" t="n">
        <v>117391.3</v>
      </c>
      <c r="E381" s="2" t="inlineStr">
        <is>
          <t>г</t>
        </is>
      </c>
      <c r="F381" s="4" t="n">
        <v>0</v>
      </c>
      <c r="G381" s="4" t="n">
        <v>0</v>
      </c>
    </row>
    <row r="382">
      <c r="C382" s="3" t="inlineStr">
        <is>
          <t>ИТОГО</t>
        </is>
      </c>
      <c r="G382" s="8" t="n">
        <v>4.6</v>
      </c>
    </row>
    <row r="383"/>
    <row r="384">
      <c r="A384" s="3" t="inlineStr">
        <is>
          <t>Каймок Творог</t>
        </is>
      </c>
      <c r="B384" s="2" t="inlineStr">
        <is>
          <t>Завтраки</t>
        </is>
      </c>
      <c r="C384" s="2" t="inlineStr">
        <is>
          <t>творог</t>
        </is>
      </c>
      <c r="D384" s="2" t="n">
        <v>100</v>
      </c>
      <c r="E384" s="2" t="inlineStr">
        <is>
          <t>г</t>
        </is>
      </c>
      <c r="F384" s="4" t="n">
        <v>23</v>
      </c>
      <c r="G384" s="4" t="n">
        <v>2.3</v>
      </c>
    </row>
    <row r="385">
      <c r="A385" s="2" t="inlineStr">
        <is>
          <t>Каймок Творог</t>
        </is>
      </c>
      <c r="B385" s="2" t="inlineStr"/>
      <c r="C385" s="2" t="inlineStr">
        <is>
          <t>сметана</t>
        </is>
      </c>
      <c r="D385" s="2" t="n">
        <v>40</v>
      </c>
      <c r="E385" s="2" t="inlineStr">
        <is>
          <t>г</t>
        </is>
      </c>
      <c r="F385" s="4" t="n">
        <v>15</v>
      </c>
      <c r="G385" s="4" t="n">
        <v>0.6</v>
      </c>
    </row>
    <row r="386">
      <c r="A386" s="2" t="inlineStr">
        <is>
          <t>Каймок Творог</t>
        </is>
      </c>
      <c r="B386" s="2" t="inlineStr"/>
      <c r="C386" s="2" t="inlineStr">
        <is>
          <t>банан</t>
        </is>
      </c>
      <c r="D386" s="2" t="n">
        <v>20</v>
      </c>
      <c r="E386" s="2" t="inlineStr">
        <is>
          <t>г</t>
        </is>
      </c>
      <c r="F386" s="4" t="n">
        <v>25</v>
      </c>
      <c r="G386" s="4" t="n">
        <v>0.5</v>
      </c>
    </row>
    <row r="387">
      <c r="A387" s="2" t="inlineStr">
        <is>
          <t>Каймок Творог</t>
        </is>
      </c>
      <c r="B387" s="2" t="inlineStr"/>
      <c r="C387" s="2" t="inlineStr">
        <is>
          <t>асал</t>
        </is>
      </c>
      <c r="D387" s="2" t="n">
        <v>20</v>
      </c>
      <c r="E387" s="2" t="inlineStr">
        <is>
          <t>г</t>
        </is>
      </c>
      <c r="F387" s="4" t="n">
        <v>45</v>
      </c>
      <c r="G387" s="4" t="n">
        <v>0.9</v>
      </c>
    </row>
    <row r="388">
      <c r="A388" s="2" t="inlineStr">
        <is>
          <t>Каймок Творог</t>
        </is>
      </c>
      <c r="B388" s="2" t="inlineStr"/>
      <c r="C388" s="2" t="inlineStr">
        <is>
          <t>нац поцент</t>
        </is>
      </c>
      <c r="D388" s="2" t="n">
        <v>132558.1</v>
      </c>
      <c r="E388" s="2" t="inlineStr">
        <is>
          <t>г</t>
        </is>
      </c>
      <c r="F388" s="4" t="n">
        <v>0</v>
      </c>
      <c r="G388" s="4" t="n">
        <v>0</v>
      </c>
    </row>
    <row r="389">
      <c r="C389" s="3" t="inlineStr">
        <is>
          <t>ИТОГО</t>
        </is>
      </c>
      <c r="G389" s="8" t="n">
        <v>4.3</v>
      </c>
    </row>
    <row r="390"/>
    <row r="391">
      <c r="A391" s="3" t="inlineStr">
        <is>
          <t>Турецкий Завтрак</t>
        </is>
      </c>
      <c r="B391" s="2" t="inlineStr">
        <is>
          <t>Завтраки</t>
        </is>
      </c>
      <c r="C391" s="2" t="inlineStr">
        <is>
          <t>тухум</t>
        </is>
      </c>
      <c r="D391" s="2" t="n">
        <v>120</v>
      </c>
      <c r="E391" s="2" t="inlineStr">
        <is>
          <t>г</t>
        </is>
      </c>
      <c r="F391" s="4" t="n">
        <v>40</v>
      </c>
      <c r="G391" s="4" t="n">
        <v>4.8</v>
      </c>
    </row>
    <row r="392">
      <c r="A392" s="2" t="inlineStr">
        <is>
          <t>Турецкий Завтрак</t>
        </is>
      </c>
      <c r="B392" s="2" t="inlineStr"/>
      <c r="C392" s="2" t="inlineStr">
        <is>
          <t>балгар перец</t>
        </is>
      </c>
      <c r="D392" s="2" t="n">
        <v>50</v>
      </c>
      <c r="E392" s="2" t="inlineStr">
        <is>
          <t>г</t>
        </is>
      </c>
      <c r="F392" s="4" t="n">
        <v>53.6</v>
      </c>
      <c r="G392" s="4" t="n">
        <v>2.68</v>
      </c>
    </row>
    <row r="393">
      <c r="A393" s="2" t="inlineStr">
        <is>
          <t>Турецкий Завтрак</t>
        </is>
      </c>
      <c r="B393" s="2" t="inlineStr"/>
      <c r="C393" s="2" t="inlineStr">
        <is>
          <t>помидор</t>
        </is>
      </c>
      <c r="D393" s="2" t="n">
        <v>40</v>
      </c>
      <c r="E393" s="2" t="inlineStr">
        <is>
          <t>г</t>
        </is>
      </c>
      <c r="F393" s="4" t="n">
        <v>30</v>
      </c>
      <c r="G393" s="4" t="n">
        <v>1.2</v>
      </c>
    </row>
    <row r="394">
      <c r="A394" s="2" t="inlineStr">
        <is>
          <t>Турецкий Завтрак</t>
        </is>
      </c>
      <c r="B394" s="2" t="inlineStr"/>
      <c r="C394" s="2" t="inlineStr">
        <is>
          <t>сарег</t>
        </is>
      </c>
      <c r="D394" s="2" t="n">
        <v>50</v>
      </c>
      <c r="E394" s="2" t="inlineStr">
        <is>
          <t>г</t>
        </is>
      </c>
      <c r="F394" s="4" t="n">
        <v>40</v>
      </c>
      <c r="G394" s="4" t="n">
        <v>2</v>
      </c>
    </row>
    <row r="395">
      <c r="A395" s="2" t="inlineStr">
        <is>
          <t>Турецкий Завтрак</t>
        </is>
      </c>
      <c r="B395" s="2" t="inlineStr"/>
      <c r="C395" s="2" t="inlineStr">
        <is>
          <t>микс</t>
        </is>
      </c>
      <c r="D395" s="2" t="n">
        <v>50</v>
      </c>
      <c r="E395" s="2" t="inlineStr">
        <is>
          <t>г</t>
        </is>
      </c>
      <c r="F395" s="4" t="n">
        <v>50</v>
      </c>
      <c r="G395" s="4" t="n">
        <v>2.5</v>
      </c>
    </row>
    <row r="396">
      <c r="A396" s="2" t="inlineStr">
        <is>
          <t>Турецкий Завтрак</t>
        </is>
      </c>
      <c r="B396" s="2" t="inlineStr"/>
      <c r="C396" s="2" t="inlineStr">
        <is>
          <t>балзам</t>
        </is>
      </c>
      <c r="D396" s="2" t="n">
        <v>15</v>
      </c>
      <c r="E396" s="2" t="inlineStr">
        <is>
          <t>г</t>
        </is>
      </c>
      <c r="F396" s="4" t="n">
        <v>230</v>
      </c>
      <c r="G396" s="4" t="n">
        <v>3.45</v>
      </c>
    </row>
    <row r="397">
      <c r="A397" s="2" t="inlineStr">
        <is>
          <t>Турецкий Завтрак</t>
        </is>
      </c>
      <c r="B397" s="2" t="inlineStr"/>
      <c r="C397" s="2" t="inlineStr">
        <is>
          <t>нац поцент</t>
        </is>
      </c>
      <c r="D397" s="2" t="n">
        <v>50330.7</v>
      </c>
      <c r="E397" s="2" t="inlineStr">
        <is>
          <t>г</t>
        </is>
      </c>
      <c r="F397" s="4" t="n">
        <v>0</v>
      </c>
      <c r="G397" s="4" t="n">
        <v>0</v>
      </c>
    </row>
    <row r="398">
      <c r="C398" s="3" t="inlineStr">
        <is>
          <t>ИТОГО</t>
        </is>
      </c>
      <c r="G398" s="8" t="n">
        <v>16.63</v>
      </c>
    </row>
    <row r="399"/>
    <row r="400">
      <c r="A400" s="3" t="inlineStr">
        <is>
          <t>Омлет Франсузкий</t>
        </is>
      </c>
      <c r="B400" s="2" t="inlineStr">
        <is>
          <t>Завтраки</t>
        </is>
      </c>
      <c r="C400" s="2" t="inlineStr">
        <is>
          <t>тухум</t>
        </is>
      </c>
      <c r="D400" s="2" t="n">
        <v>120</v>
      </c>
      <c r="E400" s="2" t="inlineStr">
        <is>
          <t>г</t>
        </is>
      </c>
      <c r="F400" s="4" t="n">
        <v>40</v>
      </c>
      <c r="G400" s="4" t="n">
        <v>4.8</v>
      </c>
    </row>
    <row r="401">
      <c r="A401" s="2" t="inlineStr">
        <is>
          <t>Омлет Франсузкий</t>
        </is>
      </c>
      <c r="B401" s="2" t="inlineStr"/>
      <c r="C401" s="2" t="inlineStr">
        <is>
          <t>шавел</t>
        </is>
      </c>
      <c r="D401" s="2" t="n">
        <v>10</v>
      </c>
      <c r="E401" s="2" t="inlineStr">
        <is>
          <t>г</t>
        </is>
      </c>
      <c r="F401" s="4" t="n">
        <v>50</v>
      </c>
      <c r="G401" s="4" t="n">
        <v>0.5</v>
      </c>
    </row>
    <row r="402">
      <c r="A402" s="2" t="inlineStr">
        <is>
          <t>Омлет Франсузкий</t>
        </is>
      </c>
      <c r="B402" s="2" t="inlineStr"/>
      <c r="C402" s="2" t="inlineStr">
        <is>
          <t>сыр</t>
        </is>
      </c>
      <c r="D402" s="2" t="n">
        <v>20</v>
      </c>
      <c r="E402" s="2" t="inlineStr">
        <is>
          <t>г</t>
        </is>
      </c>
      <c r="F402" s="4" t="n">
        <v>70</v>
      </c>
      <c r="G402" s="4" t="n">
        <v>1.4</v>
      </c>
    </row>
    <row r="403">
      <c r="A403" s="2" t="inlineStr">
        <is>
          <t>Омлет Франсузкий</t>
        </is>
      </c>
      <c r="B403" s="2" t="inlineStr"/>
      <c r="C403" s="2" t="inlineStr">
        <is>
          <t>оливкий</t>
        </is>
      </c>
      <c r="D403" s="2" t="n">
        <v>25</v>
      </c>
      <c r="E403" s="2" t="inlineStr">
        <is>
          <t>г</t>
        </is>
      </c>
      <c r="F403" s="4" t="n">
        <v>45</v>
      </c>
      <c r="G403" s="4" t="n">
        <v>1.12</v>
      </c>
    </row>
    <row r="404">
      <c r="A404" s="2" t="inlineStr">
        <is>
          <t>Омлет Франсузкий</t>
        </is>
      </c>
      <c r="B404" s="2" t="inlineStr"/>
      <c r="C404" s="2" t="inlineStr">
        <is>
          <t>микс зелен</t>
        </is>
      </c>
      <c r="D404" s="2" t="n">
        <v>50</v>
      </c>
      <c r="E404" s="2" t="inlineStr">
        <is>
          <t>г</t>
        </is>
      </c>
      <c r="F404" s="4" t="n">
        <v>50</v>
      </c>
      <c r="G404" s="4" t="n">
        <v>2.5</v>
      </c>
    </row>
    <row r="405">
      <c r="A405" s="2" t="inlineStr">
        <is>
          <t>Омлет Франсузкий</t>
        </is>
      </c>
      <c r="B405" s="2" t="inlineStr"/>
      <c r="C405" s="2" t="inlineStr">
        <is>
          <t>балзамик</t>
        </is>
      </c>
      <c r="D405" s="2" t="n">
        <v>15</v>
      </c>
      <c r="E405" s="2" t="inlineStr">
        <is>
          <t>г</t>
        </is>
      </c>
      <c r="F405" s="4" t="n">
        <v>230</v>
      </c>
      <c r="G405" s="4" t="n">
        <v>3.45</v>
      </c>
    </row>
    <row r="406">
      <c r="A406" s="2" t="inlineStr">
        <is>
          <t>Омлет Франсузкий</t>
        </is>
      </c>
      <c r="B406" s="2" t="inlineStr"/>
      <c r="C406" s="2" t="inlineStr">
        <is>
          <t>нац поцент</t>
        </is>
      </c>
      <c r="D406" s="2" t="n">
        <v>81488.2</v>
      </c>
      <c r="E406" s="2" t="inlineStr">
        <is>
          <t>г</t>
        </is>
      </c>
      <c r="F406" s="4" t="n">
        <v>0</v>
      </c>
      <c r="G406" s="4" t="n">
        <v>0</v>
      </c>
    </row>
    <row r="407">
      <c r="C407" s="3" t="inlineStr">
        <is>
          <t>ИТОГО</t>
        </is>
      </c>
      <c r="G407" s="8" t="n">
        <v>13.77</v>
      </c>
    </row>
    <row r="408"/>
    <row r="409">
      <c r="A409" s="3" t="inlineStr">
        <is>
          <t>Омлет Классик</t>
        </is>
      </c>
      <c r="B409" s="2" t="inlineStr">
        <is>
          <t>Завтраки</t>
        </is>
      </c>
      <c r="C409" s="2" t="inlineStr">
        <is>
          <t>тухум</t>
        </is>
      </c>
      <c r="D409" s="2" t="n">
        <v>120</v>
      </c>
      <c r="E409" s="2" t="inlineStr">
        <is>
          <t>г</t>
        </is>
      </c>
      <c r="F409" s="4" t="n">
        <v>40</v>
      </c>
      <c r="G409" s="4" t="n">
        <v>4.8</v>
      </c>
    </row>
    <row r="410">
      <c r="A410" s="2" t="inlineStr">
        <is>
          <t>Омлет Классик</t>
        </is>
      </c>
      <c r="B410" s="2" t="inlineStr"/>
      <c r="C410" s="2" t="inlineStr">
        <is>
          <t>сосиска</t>
        </is>
      </c>
      <c r="D410" s="2" t="n">
        <v>80</v>
      </c>
      <c r="E410" s="2" t="inlineStr">
        <is>
          <t>г</t>
        </is>
      </c>
      <c r="F410" s="4" t="n">
        <v>80</v>
      </c>
      <c r="G410" s="4" t="n">
        <v>6.4</v>
      </c>
    </row>
    <row r="411">
      <c r="A411" s="2" t="inlineStr">
        <is>
          <t>Омлет Классик</t>
        </is>
      </c>
      <c r="B411" s="2" t="inlineStr"/>
      <c r="C411" s="2" t="inlineStr">
        <is>
          <t>сыр</t>
        </is>
      </c>
      <c r="D411" s="2" t="n">
        <v>20</v>
      </c>
      <c r="E411" s="2" t="inlineStr">
        <is>
          <t>г</t>
        </is>
      </c>
      <c r="F411" s="4" t="n">
        <v>70</v>
      </c>
      <c r="G411" s="4" t="n">
        <v>1.4</v>
      </c>
    </row>
    <row r="412">
      <c r="A412" s="2" t="inlineStr">
        <is>
          <t>Омлет Классик</t>
        </is>
      </c>
      <c r="B412" s="2" t="inlineStr"/>
      <c r="C412" s="2" t="inlineStr">
        <is>
          <t>оливкий</t>
        </is>
      </c>
      <c r="D412" s="2" t="n">
        <v>25</v>
      </c>
      <c r="E412" s="2" t="inlineStr">
        <is>
          <t>г</t>
        </is>
      </c>
      <c r="F412" s="4" t="n">
        <v>45</v>
      </c>
      <c r="G412" s="4" t="n">
        <v>1.12</v>
      </c>
    </row>
    <row r="413">
      <c r="A413" s="2" t="inlineStr">
        <is>
          <t>Омлет Классик</t>
        </is>
      </c>
      <c r="B413" s="2" t="inlineStr"/>
      <c r="C413" s="2" t="inlineStr">
        <is>
          <t>нац поцент</t>
        </is>
      </c>
      <c r="D413" s="2" t="n">
        <v>45719.5</v>
      </c>
      <c r="E413" s="2" t="inlineStr">
        <is>
          <t>г</t>
        </is>
      </c>
      <c r="F413" s="4" t="n">
        <v>0</v>
      </c>
      <c r="G413" s="4" t="n">
        <v>0</v>
      </c>
    </row>
    <row r="414">
      <c r="C414" s="3" t="inlineStr">
        <is>
          <t>ИТОГО</t>
        </is>
      </c>
      <c r="G414" s="8" t="n">
        <v>13.72</v>
      </c>
    </row>
    <row r="415"/>
    <row r="416">
      <c r="A416" s="3" t="inlineStr">
        <is>
          <t>Фарш Гов</t>
        </is>
      </c>
      <c r="B416" s="2" t="inlineStr">
        <is>
          <t>Полуфабрикаты мясные</t>
        </is>
      </c>
      <c r="C416" s="2" t="inlineStr">
        <is>
          <t>фаршина</t>
        </is>
      </c>
      <c r="D416" s="2" t="n">
        <v>1000</v>
      </c>
      <c r="E416" s="2" t="inlineStr">
        <is>
          <t>г</t>
        </is>
      </c>
      <c r="F416" s="4" t="n">
        <v>120</v>
      </c>
      <c r="G416" s="4" t="n">
        <v>120</v>
      </c>
    </row>
    <row r="417">
      <c r="A417" s="2" t="inlineStr">
        <is>
          <t>Фарш Гов</t>
        </is>
      </c>
      <c r="B417" s="2" t="inlineStr"/>
      <c r="C417" s="2" t="inlineStr">
        <is>
          <t>шаурма</t>
        </is>
      </c>
      <c r="D417" s="2" t="n">
        <v>250</v>
      </c>
      <c r="E417" s="2" t="inlineStr">
        <is>
          <t>г</t>
        </is>
      </c>
      <c r="F417" s="4" t="n">
        <v>39</v>
      </c>
      <c r="G417" s="4" t="n">
        <v>9.75</v>
      </c>
    </row>
    <row r="418">
      <c r="A418" s="2" t="inlineStr">
        <is>
          <t>Фарш Гов</t>
        </is>
      </c>
      <c r="B418" s="2" t="inlineStr"/>
      <c r="C418" s="2" t="inlineStr">
        <is>
          <t>пиез</t>
        </is>
      </c>
      <c r="D418" s="2" t="n">
        <v>100</v>
      </c>
      <c r="E418" s="2" t="inlineStr">
        <is>
          <t>г</t>
        </is>
      </c>
      <c r="F418" s="4" t="n">
        <v>10</v>
      </c>
      <c r="G418" s="4" t="n">
        <v>1</v>
      </c>
    </row>
    <row r="419">
      <c r="A419" s="2" t="inlineStr">
        <is>
          <t>Фарш Гов</t>
        </is>
      </c>
      <c r="B419" s="2" t="inlineStr"/>
      <c r="C419" s="2" t="inlineStr">
        <is>
          <t>туз</t>
        </is>
      </c>
      <c r="D419" s="2" t="n">
        <v>17</v>
      </c>
      <c r="E419" s="2" t="inlineStr">
        <is>
          <t>г</t>
        </is>
      </c>
      <c r="F419" s="4" t="n">
        <v>2</v>
      </c>
      <c r="G419" s="4" t="n">
        <v>0.03</v>
      </c>
    </row>
    <row r="420">
      <c r="A420" s="2" t="inlineStr">
        <is>
          <t>Фарш Гов</t>
        </is>
      </c>
      <c r="B420" s="2" t="inlineStr"/>
      <c r="C420" s="2" t="inlineStr">
        <is>
          <t>кашнич</t>
        </is>
      </c>
      <c r="D420" s="2" t="n">
        <v>5</v>
      </c>
      <c r="E420" s="2" t="inlineStr">
        <is>
          <t>г</t>
        </is>
      </c>
      <c r="F420" s="4" t="n">
        <v>50</v>
      </c>
      <c r="G420" s="4" t="n">
        <v>0.25</v>
      </c>
    </row>
    <row r="421">
      <c r="A421" s="2" t="inlineStr">
        <is>
          <t>Фарш Гов</t>
        </is>
      </c>
      <c r="B421" s="2" t="inlineStr"/>
      <c r="C421" s="2" t="inlineStr">
        <is>
          <t>зира</t>
        </is>
      </c>
      <c r="D421" s="2" t="n">
        <v>5</v>
      </c>
      <c r="E421" s="2" t="inlineStr">
        <is>
          <t>г</t>
        </is>
      </c>
      <c r="F421" s="4" t="n">
        <v>100</v>
      </c>
      <c r="G421" s="4" t="n">
        <v>0.5</v>
      </c>
    </row>
    <row r="422">
      <c r="A422" s="2" t="inlineStr">
        <is>
          <t>Фарш Гов</t>
        </is>
      </c>
      <c r="B422" s="2" t="inlineStr"/>
      <c r="C422" s="2" t="inlineStr">
        <is>
          <t>чиснок сущ</t>
        </is>
      </c>
      <c r="D422" s="2" t="n">
        <v>5</v>
      </c>
      <c r="E422" s="2" t="inlineStr">
        <is>
          <t>г</t>
        </is>
      </c>
      <c r="F422" s="4" t="n">
        <v>50</v>
      </c>
      <c r="G422" s="4" t="n">
        <v>0.25</v>
      </c>
    </row>
    <row r="423">
      <c r="A423" s="2" t="inlineStr">
        <is>
          <t>Фарш Гов</t>
        </is>
      </c>
      <c r="B423" s="2" t="inlineStr"/>
      <c r="C423" s="2" t="inlineStr">
        <is>
          <t>мурч</t>
        </is>
      </c>
      <c r="D423" s="2" t="n">
        <v>2</v>
      </c>
      <c r="E423" s="2" t="inlineStr">
        <is>
          <t>г</t>
        </is>
      </c>
      <c r="F423" s="4" t="n">
        <v>50</v>
      </c>
      <c r="G423" s="4" t="n">
        <v>0.1</v>
      </c>
    </row>
    <row r="424">
      <c r="A424" s="2" t="inlineStr">
        <is>
          <t>Фарш Гов</t>
        </is>
      </c>
      <c r="B424" s="2" t="inlineStr"/>
      <c r="C424" s="2" t="inlineStr">
        <is>
          <t>сумма общ</t>
        </is>
      </c>
      <c r="D424" s="2" t="n">
        <v>131884</v>
      </c>
      <c r="E424" s="2" t="inlineStr">
        <is>
          <t>г</t>
        </is>
      </c>
      <c r="F424" s="4" t="n">
        <v>0</v>
      </c>
      <c r="G424" s="4" t="n">
        <v>0</v>
      </c>
    </row>
    <row r="425">
      <c r="C425" s="3" t="inlineStr">
        <is>
          <t>ИТОГО</t>
        </is>
      </c>
      <c r="G425" s="8" t="n">
        <v>131.88</v>
      </c>
    </row>
    <row r="426"/>
    <row r="427">
      <c r="A427" s="3" t="inlineStr">
        <is>
          <t>Тефтел</t>
        </is>
      </c>
      <c r="B427" s="2" t="inlineStr">
        <is>
          <t>Полуфабрикаты мясные</t>
        </is>
      </c>
      <c r="C427" s="2" t="inlineStr">
        <is>
          <t>фарш</t>
        </is>
      </c>
      <c r="D427" s="2" t="n">
        <v>1000</v>
      </c>
      <c r="E427" s="2" t="inlineStr">
        <is>
          <t>г</t>
        </is>
      </c>
      <c r="F427" s="4" t="n">
        <v>95.29190751445088</v>
      </c>
      <c r="G427" s="4" t="n">
        <v>95.29000000000001</v>
      </c>
    </row>
    <row r="428">
      <c r="A428" s="2" t="inlineStr">
        <is>
          <t>Тефтел</t>
        </is>
      </c>
      <c r="B428" s="2" t="inlineStr"/>
      <c r="C428" s="2" t="inlineStr">
        <is>
          <t>гурунч</t>
        </is>
      </c>
      <c r="D428" s="2" t="n">
        <v>200</v>
      </c>
      <c r="E428" s="2" t="inlineStr">
        <is>
          <t>г</t>
        </is>
      </c>
      <c r="F428" s="4" t="n">
        <v>10</v>
      </c>
      <c r="G428" s="4" t="n">
        <v>2</v>
      </c>
    </row>
    <row r="429">
      <c r="A429" s="2" t="inlineStr">
        <is>
          <t>Тефтел</t>
        </is>
      </c>
      <c r="B429" s="2" t="inlineStr"/>
      <c r="C429" s="2" t="inlineStr">
        <is>
          <t>тухум</t>
        </is>
      </c>
      <c r="D429" s="2" t="n">
        <v>80</v>
      </c>
      <c r="E429" s="2" t="inlineStr">
        <is>
          <t>г</t>
        </is>
      </c>
      <c r="F429" s="4" t="n">
        <v>40</v>
      </c>
      <c r="G429" s="4" t="n">
        <v>3.2</v>
      </c>
    </row>
    <row r="430">
      <c r="A430" s="2" t="inlineStr">
        <is>
          <t>Тефтел</t>
        </is>
      </c>
      <c r="B430" s="2" t="inlineStr"/>
      <c r="C430" s="2" t="inlineStr">
        <is>
          <t>сумма общ</t>
        </is>
      </c>
      <c r="D430" s="2" t="n">
        <v>100491.9</v>
      </c>
      <c r="E430" s="2" t="inlineStr">
        <is>
          <t>г</t>
        </is>
      </c>
      <c r="F430" s="4" t="n">
        <v>0</v>
      </c>
      <c r="G430" s="4" t="n">
        <v>0</v>
      </c>
    </row>
    <row r="431">
      <c r="C431" s="3" t="inlineStr">
        <is>
          <t>ИТОГО</t>
        </is>
      </c>
      <c r="G431" s="8" t="n">
        <v>100.49</v>
      </c>
    </row>
    <row r="432"/>
    <row r="433">
      <c r="A433" s="3" t="inlineStr">
        <is>
          <t>Кийма Шаш</t>
        </is>
      </c>
      <c r="B433" s="2" t="inlineStr">
        <is>
          <t>Полуфабрикаты мясные</t>
        </is>
      </c>
      <c r="C433" s="2" t="inlineStr">
        <is>
          <t>фарш</t>
        </is>
      </c>
      <c r="D433" s="2" t="n">
        <v>1000</v>
      </c>
      <c r="E433" s="2" t="inlineStr">
        <is>
          <t>г</t>
        </is>
      </c>
      <c r="F433" s="4" t="n">
        <v>95.29190751445088</v>
      </c>
      <c r="G433" s="4" t="n">
        <v>95.29000000000001</v>
      </c>
    </row>
    <row r="434">
      <c r="A434" s="2" t="inlineStr">
        <is>
          <t>Кийма Шаш</t>
        </is>
      </c>
      <c r="B434" s="2" t="inlineStr"/>
      <c r="C434" s="2" t="inlineStr">
        <is>
          <t>думба</t>
        </is>
      </c>
      <c r="D434" s="2" t="n">
        <v>100</v>
      </c>
      <c r="E434" s="2" t="inlineStr">
        <is>
          <t>г</t>
        </is>
      </c>
      <c r="F434" s="4" t="n">
        <v>100</v>
      </c>
      <c r="G434" s="4" t="n">
        <v>10</v>
      </c>
    </row>
    <row r="435">
      <c r="C435" s="3" t="inlineStr">
        <is>
          <t>ИТОГО</t>
        </is>
      </c>
      <c r="G435" s="8" t="n">
        <v>16.27</v>
      </c>
    </row>
    <row r="436"/>
    <row r="437">
      <c r="A437" s="3" t="inlineStr">
        <is>
          <t>Нежный</t>
        </is>
      </c>
      <c r="B437" s="2" t="inlineStr">
        <is>
          <t>Полуфабрикаты мясные</t>
        </is>
      </c>
      <c r="C437" s="2" t="inlineStr">
        <is>
          <t>фарш</t>
        </is>
      </c>
      <c r="D437" s="2" t="n">
        <v>3600</v>
      </c>
      <c r="E437" s="2" t="inlineStr">
        <is>
          <t>г</t>
        </is>
      </c>
      <c r="F437" s="4" t="n">
        <v>95.29190751445088</v>
      </c>
      <c r="G437" s="4" t="n">
        <v>343.05</v>
      </c>
    </row>
    <row r="438">
      <c r="A438" s="2" t="inlineStr">
        <is>
          <t>Нежный</t>
        </is>
      </c>
      <c r="B438" s="2" t="inlineStr"/>
      <c r="C438" s="2" t="inlineStr">
        <is>
          <t>думба</t>
        </is>
      </c>
      <c r="D438" s="2" t="n">
        <v>400</v>
      </c>
      <c r="E438" s="2" t="inlineStr">
        <is>
          <t>г</t>
        </is>
      </c>
      <c r="F438" s="4" t="n">
        <v>100</v>
      </c>
      <c r="G438" s="4" t="n">
        <v>40</v>
      </c>
    </row>
    <row r="439">
      <c r="A439" s="2" t="inlineStr">
        <is>
          <t>Нежный</t>
        </is>
      </c>
      <c r="B439" s="2" t="inlineStr"/>
      <c r="C439" s="2" t="inlineStr">
        <is>
          <t>помидор</t>
        </is>
      </c>
      <c r="D439" s="2" t="n">
        <v>184</v>
      </c>
      <c r="E439" s="2" t="inlineStr">
        <is>
          <t>г</t>
        </is>
      </c>
      <c r="F439" s="4" t="n">
        <v>30</v>
      </c>
      <c r="G439" s="4" t="n">
        <v>5.52</v>
      </c>
    </row>
    <row r="440">
      <c r="A440" s="2" t="inlineStr">
        <is>
          <t>Нежный</t>
        </is>
      </c>
      <c r="B440" s="2" t="inlineStr"/>
      <c r="C440" s="2" t="inlineStr">
        <is>
          <t>бодиринг</t>
        </is>
      </c>
      <c r="D440" s="2" t="n">
        <v>210</v>
      </c>
      <c r="E440" s="2" t="inlineStr">
        <is>
          <t>г</t>
        </is>
      </c>
      <c r="F440" s="4" t="n">
        <v>20</v>
      </c>
      <c r="G440" s="4" t="n">
        <v>4.2</v>
      </c>
    </row>
    <row r="441">
      <c r="A441" s="2" t="inlineStr">
        <is>
          <t>Нежный</t>
        </is>
      </c>
      <c r="B441" s="2" t="inlineStr"/>
      <c r="C441" s="2" t="inlineStr">
        <is>
          <t>лимон</t>
        </is>
      </c>
      <c r="D441" s="2" t="n">
        <v>140</v>
      </c>
      <c r="E441" s="2" t="inlineStr">
        <is>
          <t>г</t>
        </is>
      </c>
      <c r="F441" s="4" t="n">
        <v>40</v>
      </c>
      <c r="G441" s="4" t="n">
        <v>5.6</v>
      </c>
    </row>
    <row r="442">
      <c r="C442" s="3" t="inlineStr">
        <is>
          <t>ИТОГО</t>
        </is>
      </c>
      <c r="G442" s="8" t="n">
        <v>16.25</v>
      </c>
    </row>
    <row r="443"/>
    <row r="444">
      <c r="A444" s="3" t="inlineStr">
        <is>
          <t>Шаршара</t>
        </is>
      </c>
      <c r="B444" s="2" t="inlineStr">
        <is>
          <t>Полуфабрикаты мясные</t>
        </is>
      </c>
      <c r="C444" s="2" t="inlineStr">
        <is>
          <t>фаршина</t>
        </is>
      </c>
      <c r="D444" s="2" t="n">
        <v>4000</v>
      </c>
      <c r="E444" s="2" t="inlineStr">
        <is>
          <t>г</t>
        </is>
      </c>
      <c r="F444" s="4" t="n">
        <v>120</v>
      </c>
      <c r="G444" s="4" t="n">
        <v>480</v>
      </c>
    </row>
    <row r="445">
      <c r="A445" s="2" t="inlineStr">
        <is>
          <t>Шаршара</t>
        </is>
      </c>
      <c r="B445" s="2" t="inlineStr"/>
      <c r="C445" s="2" t="inlineStr">
        <is>
          <t>думба</t>
        </is>
      </c>
      <c r="D445" s="2" t="n">
        <v>1000</v>
      </c>
      <c r="E445" s="2" t="inlineStr">
        <is>
          <t>г</t>
        </is>
      </c>
      <c r="F445" s="4" t="n">
        <v>100</v>
      </c>
      <c r="G445" s="4" t="n">
        <v>100</v>
      </c>
    </row>
    <row r="446">
      <c r="A446" s="2" t="inlineStr">
        <is>
          <t>Шаршара</t>
        </is>
      </c>
      <c r="B446" s="2" t="inlineStr"/>
      <c r="C446" s="2" t="inlineStr">
        <is>
          <t>туз</t>
        </is>
      </c>
      <c r="D446" s="2" t="n">
        <v>75</v>
      </c>
      <c r="E446" s="2" t="inlineStr">
        <is>
          <t>г</t>
        </is>
      </c>
      <c r="F446" s="4" t="n">
        <v>2</v>
      </c>
      <c r="G446" s="4" t="n">
        <v>0.15</v>
      </c>
    </row>
    <row r="447">
      <c r="A447" s="2" t="inlineStr">
        <is>
          <t>Шаршара</t>
        </is>
      </c>
      <c r="B447" s="2" t="inlineStr"/>
      <c r="C447" s="2" t="inlineStr">
        <is>
          <t>мурч</t>
        </is>
      </c>
      <c r="D447" s="2" t="n">
        <v>15</v>
      </c>
      <c r="E447" s="2" t="inlineStr">
        <is>
          <t>г</t>
        </is>
      </c>
      <c r="F447" s="4" t="n">
        <v>50</v>
      </c>
      <c r="G447" s="4" t="n">
        <v>0.75</v>
      </c>
    </row>
    <row r="448">
      <c r="A448" s="2" t="inlineStr">
        <is>
          <t>Шаршара</t>
        </is>
      </c>
      <c r="B448" s="2" t="inlineStr"/>
      <c r="C448" s="2" t="inlineStr">
        <is>
          <t>кашнич</t>
        </is>
      </c>
      <c r="D448" s="2" t="n">
        <v>15</v>
      </c>
      <c r="E448" s="2" t="inlineStr">
        <is>
          <t>г</t>
        </is>
      </c>
      <c r="F448" s="4" t="n">
        <v>50</v>
      </c>
      <c r="G448" s="4" t="n">
        <v>0.75</v>
      </c>
    </row>
    <row r="449">
      <c r="A449" s="2" t="inlineStr">
        <is>
          <t>Шаршара</t>
        </is>
      </c>
      <c r="B449" s="2" t="inlineStr"/>
      <c r="C449" s="2" t="inlineStr">
        <is>
          <t>зира</t>
        </is>
      </c>
      <c r="D449" s="2" t="n">
        <v>15</v>
      </c>
      <c r="E449" s="2" t="inlineStr">
        <is>
          <t>г</t>
        </is>
      </c>
      <c r="F449" s="4" t="n">
        <v>100</v>
      </c>
      <c r="G449" s="4" t="n">
        <v>1.5</v>
      </c>
    </row>
    <row r="450">
      <c r="A450" s="2" t="inlineStr">
        <is>
          <t>Шаршара</t>
        </is>
      </c>
      <c r="B450" s="2" t="inlineStr"/>
      <c r="C450" s="2" t="inlineStr">
        <is>
          <t>паприка</t>
        </is>
      </c>
      <c r="D450" s="2" t="n">
        <v>30</v>
      </c>
      <c r="E450" s="2" t="inlineStr">
        <is>
          <t>г</t>
        </is>
      </c>
      <c r="F450" s="4" t="n">
        <v>25</v>
      </c>
      <c r="G450" s="4" t="n">
        <v>0.75</v>
      </c>
    </row>
    <row r="451">
      <c r="A451" s="2" t="inlineStr">
        <is>
          <t>Шаршара</t>
        </is>
      </c>
      <c r="B451" s="2" t="inlineStr"/>
      <c r="C451" s="2" t="inlineStr">
        <is>
          <t>пиез</t>
        </is>
      </c>
      <c r="D451" s="2" t="n">
        <v>1000</v>
      </c>
      <c r="E451" s="2" t="inlineStr">
        <is>
          <t>г</t>
        </is>
      </c>
      <c r="F451" s="4" t="n">
        <v>10</v>
      </c>
      <c r="G451" s="4" t="n">
        <v>10</v>
      </c>
    </row>
    <row r="452">
      <c r="A452" s="2" t="inlineStr">
        <is>
          <t>Шаршара</t>
        </is>
      </c>
      <c r="B452" s="2" t="inlineStr"/>
      <c r="C452" s="2" t="inlineStr">
        <is>
          <t>лаваш</t>
        </is>
      </c>
      <c r="D452" s="2" t="n">
        <v>40000</v>
      </c>
      <c r="E452" s="2" t="inlineStr">
        <is>
          <t>г</t>
        </is>
      </c>
      <c r="F452" s="4" t="n">
        <v>1.2</v>
      </c>
      <c r="G452" s="4" t="n">
        <v>48</v>
      </c>
    </row>
    <row r="453">
      <c r="A453" s="2" t="inlineStr">
        <is>
          <t>Шаршара</t>
        </is>
      </c>
      <c r="B453" s="2" t="inlineStr"/>
      <c r="C453" s="2" t="inlineStr">
        <is>
          <t>сарег</t>
        </is>
      </c>
      <c r="D453" s="2" t="n">
        <v>1050</v>
      </c>
      <c r="E453" s="2" t="inlineStr">
        <is>
          <t>г</t>
        </is>
      </c>
      <c r="F453" s="4" t="n">
        <v>40</v>
      </c>
      <c r="G453" s="4" t="n">
        <v>42</v>
      </c>
    </row>
    <row r="454">
      <c r="A454" s="2" t="inlineStr">
        <is>
          <t>Шаршара</t>
        </is>
      </c>
      <c r="B454" s="2" t="inlineStr"/>
      <c r="C454" s="2" t="inlineStr">
        <is>
          <t>сыр</t>
        </is>
      </c>
      <c r="D454" s="2" t="n">
        <v>1050</v>
      </c>
      <c r="E454" s="2" t="inlineStr">
        <is>
          <t>г</t>
        </is>
      </c>
      <c r="F454" s="4" t="n">
        <v>70</v>
      </c>
      <c r="G454" s="4" t="n">
        <v>73.5</v>
      </c>
    </row>
    <row r="455">
      <c r="C455" s="3" t="inlineStr">
        <is>
          <t>ИТОГО</t>
        </is>
      </c>
      <c r="G455" s="8" t="n">
        <v>757.4</v>
      </c>
    </row>
    <row r="456"/>
    <row r="457">
      <c r="A457" s="3" t="inlineStr">
        <is>
          <t>Мариновка Верзка</t>
        </is>
      </c>
      <c r="B457" s="2" t="inlineStr">
        <is>
          <t>Полуфабрикаты мясные</t>
        </is>
      </c>
      <c r="C457" s="2" t="inlineStr">
        <is>
          <t>верзка</t>
        </is>
      </c>
      <c r="D457" s="2" t="n">
        <v>1000</v>
      </c>
      <c r="E457" s="2" t="inlineStr">
        <is>
          <t>г</t>
        </is>
      </c>
      <c r="F457" s="4" t="n">
        <v>125</v>
      </c>
      <c r="G457" s="4" t="n">
        <v>125</v>
      </c>
    </row>
    <row r="458">
      <c r="A458" s="2" t="inlineStr">
        <is>
          <t>Мариновка Верзка</t>
        </is>
      </c>
      <c r="B458" s="2" t="inlineStr"/>
      <c r="C458" s="2" t="inlineStr">
        <is>
          <t>киви</t>
        </is>
      </c>
      <c r="D458" s="2" t="n">
        <v>40</v>
      </c>
      <c r="E458" s="2" t="inlineStr">
        <is>
          <t>г</t>
        </is>
      </c>
      <c r="F458" s="4" t="n">
        <v>30</v>
      </c>
      <c r="G458" s="4" t="n">
        <v>1.2</v>
      </c>
    </row>
    <row r="459">
      <c r="A459" s="2" t="inlineStr">
        <is>
          <t>Мариновка Верзка</t>
        </is>
      </c>
      <c r="B459" s="2" t="inlineStr"/>
      <c r="C459" s="2" t="inlineStr">
        <is>
          <t>помидор</t>
        </is>
      </c>
      <c r="D459" s="2" t="n">
        <v>100</v>
      </c>
      <c r="E459" s="2" t="inlineStr">
        <is>
          <t>г</t>
        </is>
      </c>
      <c r="F459" s="4" t="n">
        <v>30</v>
      </c>
      <c r="G459" s="4" t="n">
        <v>3</v>
      </c>
    </row>
    <row r="460">
      <c r="A460" s="2" t="inlineStr">
        <is>
          <t>Мариновка Верзка</t>
        </is>
      </c>
      <c r="B460" s="2" t="inlineStr"/>
      <c r="C460" s="2" t="inlineStr">
        <is>
          <t>пиез</t>
        </is>
      </c>
      <c r="D460" s="2" t="n">
        <v>100</v>
      </c>
      <c r="E460" s="2" t="inlineStr">
        <is>
          <t>г</t>
        </is>
      </c>
      <c r="F460" s="4" t="n">
        <v>10</v>
      </c>
      <c r="G460" s="4" t="n">
        <v>1</v>
      </c>
    </row>
    <row r="461">
      <c r="A461" s="2" t="inlineStr">
        <is>
          <t>Мариновка Верзка</t>
        </is>
      </c>
      <c r="B461" s="2" t="inlineStr"/>
      <c r="C461" s="2" t="inlineStr">
        <is>
          <t>туз</t>
        </is>
      </c>
      <c r="D461" s="2" t="n">
        <v>17</v>
      </c>
      <c r="E461" s="2" t="inlineStr">
        <is>
          <t>г</t>
        </is>
      </c>
      <c r="F461" s="4" t="n">
        <v>2</v>
      </c>
      <c r="G461" s="4" t="n">
        <v>0.03</v>
      </c>
    </row>
    <row r="462">
      <c r="A462" s="2" t="inlineStr">
        <is>
          <t>Мариновка Верзка</t>
        </is>
      </c>
      <c r="B462" s="2" t="inlineStr"/>
      <c r="C462" s="2" t="inlineStr">
        <is>
          <t>кашнич</t>
        </is>
      </c>
      <c r="D462" s="2" t="n">
        <v>5</v>
      </c>
      <c r="E462" s="2" t="inlineStr">
        <is>
          <t>г</t>
        </is>
      </c>
      <c r="F462" s="4" t="n">
        <v>50</v>
      </c>
      <c r="G462" s="4" t="n">
        <v>0.25</v>
      </c>
    </row>
    <row r="463">
      <c r="A463" s="2" t="inlineStr">
        <is>
          <t>Мариновка Верзка</t>
        </is>
      </c>
      <c r="B463" s="2" t="inlineStr"/>
      <c r="C463" s="2" t="inlineStr">
        <is>
          <t>зира</t>
        </is>
      </c>
      <c r="D463" s="2" t="n">
        <v>5</v>
      </c>
      <c r="E463" s="2" t="inlineStr">
        <is>
          <t>г</t>
        </is>
      </c>
      <c r="F463" s="4" t="n">
        <v>100</v>
      </c>
      <c r="G463" s="4" t="n">
        <v>0.5</v>
      </c>
    </row>
    <row r="464">
      <c r="A464" s="2" t="inlineStr">
        <is>
          <t>Мариновка Верзка</t>
        </is>
      </c>
      <c r="B464" s="2" t="inlineStr"/>
      <c r="C464" s="2" t="inlineStr">
        <is>
          <t>чиснок сущ</t>
        </is>
      </c>
      <c r="D464" s="2" t="n">
        <v>5</v>
      </c>
      <c r="E464" s="2" t="inlineStr">
        <is>
          <t>г</t>
        </is>
      </c>
      <c r="F464" s="4" t="n">
        <v>50</v>
      </c>
      <c r="G464" s="4" t="n">
        <v>0.25</v>
      </c>
    </row>
    <row r="465">
      <c r="A465" s="2" t="inlineStr">
        <is>
          <t>Мариновка Верзка</t>
        </is>
      </c>
      <c r="B465" s="2" t="inlineStr"/>
      <c r="C465" s="2" t="inlineStr">
        <is>
          <t>мурч</t>
        </is>
      </c>
      <c r="D465" s="2" t="n">
        <v>2</v>
      </c>
      <c r="E465" s="2" t="inlineStr">
        <is>
          <t>г</t>
        </is>
      </c>
      <c r="F465" s="4" t="n">
        <v>50</v>
      </c>
      <c r="G465" s="4" t="n">
        <v>0.1</v>
      </c>
    </row>
    <row r="466">
      <c r="A466" s="2" t="inlineStr">
        <is>
          <t>Мариновка Верзка</t>
        </is>
      </c>
      <c r="B466" s="2" t="inlineStr"/>
      <c r="C466" s="2" t="inlineStr">
        <is>
          <t>парика</t>
        </is>
      </c>
      <c r="D466" s="2" t="n">
        <v>50</v>
      </c>
      <c r="E466" s="2" t="inlineStr">
        <is>
          <t>г</t>
        </is>
      </c>
      <c r="F466" s="4" t="n">
        <v>20</v>
      </c>
      <c r="G466" s="4" t="n">
        <v>1</v>
      </c>
    </row>
    <row r="467">
      <c r="A467" s="2" t="inlineStr">
        <is>
          <t>Мариновка Верзка</t>
        </is>
      </c>
      <c r="B467" s="2" t="inlineStr"/>
      <c r="C467" s="2" t="inlineStr">
        <is>
          <t>мениралка</t>
        </is>
      </c>
      <c r="D467" s="2" t="n">
        <v>300</v>
      </c>
      <c r="E467" s="2" t="inlineStr">
        <is>
          <t>г</t>
        </is>
      </c>
      <c r="F467" s="4" t="n">
        <v>5</v>
      </c>
      <c r="G467" s="4" t="n">
        <v>1.5</v>
      </c>
    </row>
    <row r="468">
      <c r="C468" s="3" t="inlineStr">
        <is>
          <t>ИТОГО</t>
        </is>
      </c>
      <c r="F468" s="7" t="inlineStr">
        <is>
          <t>Цена: 33.0</t>
        </is>
      </c>
      <c r="G468" s="8" t="n">
        <v>0.15</v>
      </c>
    </row>
    <row r="469"/>
    <row r="470">
      <c r="A470" s="3" t="inlineStr">
        <is>
          <t>Мариновка Баранина</t>
        </is>
      </c>
      <c r="B470" s="2" t="inlineStr">
        <is>
          <t>Полуфабрикаты мясные</t>
        </is>
      </c>
      <c r="C470" s="2" t="inlineStr">
        <is>
          <t>мякот баран</t>
        </is>
      </c>
      <c r="D470" s="2" t="n">
        <v>1000</v>
      </c>
      <c r="E470" s="2" t="inlineStr">
        <is>
          <t>г</t>
        </is>
      </c>
      <c r="F470" s="4" t="n">
        <v>105</v>
      </c>
      <c r="G470" s="4" t="n">
        <v>105</v>
      </c>
    </row>
    <row r="471">
      <c r="A471" s="2" t="inlineStr">
        <is>
          <t>Мариновка Баранина</t>
        </is>
      </c>
      <c r="B471" s="2" t="inlineStr"/>
      <c r="C471" s="2" t="inlineStr">
        <is>
          <t>киви</t>
        </is>
      </c>
      <c r="D471" s="2" t="n">
        <v>40</v>
      </c>
      <c r="E471" s="2" t="inlineStr">
        <is>
          <t>г</t>
        </is>
      </c>
      <c r="F471" s="4" t="n">
        <v>30</v>
      </c>
      <c r="G471" s="4" t="n">
        <v>1.2</v>
      </c>
    </row>
    <row r="472">
      <c r="A472" s="2" t="inlineStr">
        <is>
          <t>Мариновка Баранина</t>
        </is>
      </c>
      <c r="B472" s="2" t="inlineStr"/>
      <c r="C472" s="2" t="inlineStr">
        <is>
          <t>помидор</t>
        </is>
      </c>
      <c r="D472" s="2" t="n">
        <v>100</v>
      </c>
      <c r="E472" s="2" t="inlineStr">
        <is>
          <t>г</t>
        </is>
      </c>
      <c r="F472" s="4" t="n">
        <v>30</v>
      </c>
      <c r="G472" s="4" t="n">
        <v>3</v>
      </c>
    </row>
    <row r="473">
      <c r="A473" s="2" t="inlineStr">
        <is>
          <t>Мариновка Баранина</t>
        </is>
      </c>
      <c r="B473" s="2" t="inlineStr"/>
      <c r="C473" s="2" t="inlineStr">
        <is>
          <t>пиез</t>
        </is>
      </c>
      <c r="D473" s="2" t="n">
        <v>100</v>
      </c>
      <c r="E473" s="2" t="inlineStr">
        <is>
          <t>г</t>
        </is>
      </c>
      <c r="F473" s="4" t="n">
        <v>10</v>
      </c>
      <c r="G473" s="4" t="n">
        <v>1</v>
      </c>
    </row>
    <row r="474">
      <c r="A474" s="2" t="inlineStr">
        <is>
          <t>Мариновка Баранина</t>
        </is>
      </c>
      <c r="B474" s="2" t="inlineStr"/>
      <c r="C474" s="2" t="inlineStr">
        <is>
          <t>туз</t>
        </is>
      </c>
      <c r="D474" s="2" t="n">
        <v>17</v>
      </c>
      <c r="E474" s="2" t="inlineStr">
        <is>
          <t>г</t>
        </is>
      </c>
      <c r="F474" s="4" t="n">
        <v>2</v>
      </c>
      <c r="G474" s="4" t="n">
        <v>0.03</v>
      </c>
    </row>
    <row r="475">
      <c r="A475" s="2" t="inlineStr">
        <is>
          <t>Мариновка Баранина</t>
        </is>
      </c>
      <c r="B475" s="2" t="inlineStr"/>
      <c r="C475" s="2" t="inlineStr">
        <is>
          <t>кашнич</t>
        </is>
      </c>
      <c r="D475" s="2" t="n">
        <v>5</v>
      </c>
      <c r="E475" s="2" t="inlineStr">
        <is>
          <t>г</t>
        </is>
      </c>
      <c r="F475" s="4" t="n">
        <v>50</v>
      </c>
      <c r="G475" s="4" t="n">
        <v>0.25</v>
      </c>
    </row>
    <row r="476">
      <c r="A476" s="2" t="inlineStr">
        <is>
          <t>Мариновка Баранина</t>
        </is>
      </c>
      <c r="B476" s="2" t="inlineStr"/>
      <c r="C476" s="2" t="inlineStr">
        <is>
          <t>зира</t>
        </is>
      </c>
      <c r="D476" s="2" t="n">
        <v>5</v>
      </c>
      <c r="E476" s="2" t="inlineStr">
        <is>
          <t>г</t>
        </is>
      </c>
      <c r="F476" s="4" t="n">
        <v>100</v>
      </c>
      <c r="G476" s="4" t="n">
        <v>0.5</v>
      </c>
    </row>
    <row r="477">
      <c r="A477" s="2" t="inlineStr">
        <is>
          <t>Мариновка Баранина</t>
        </is>
      </c>
      <c r="B477" s="2" t="inlineStr"/>
      <c r="C477" s="2" t="inlineStr">
        <is>
          <t>чиснок сущ</t>
        </is>
      </c>
      <c r="D477" s="2" t="n">
        <v>5</v>
      </c>
      <c r="E477" s="2" t="inlineStr">
        <is>
          <t>г</t>
        </is>
      </c>
      <c r="F477" s="4" t="n">
        <v>50</v>
      </c>
      <c r="G477" s="4" t="n">
        <v>0.25</v>
      </c>
    </row>
    <row r="478">
      <c r="A478" s="2" t="inlineStr">
        <is>
          <t>Мариновка Баранина</t>
        </is>
      </c>
      <c r="B478" s="2" t="inlineStr"/>
      <c r="C478" s="2" t="inlineStr">
        <is>
          <t>мурч</t>
        </is>
      </c>
      <c r="D478" s="2" t="n">
        <v>2</v>
      </c>
      <c r="E478" s="2" t="inlineStr">
        <is>
          <t>г</t>
        </is>
      </c>
      <c r="F478" s="4" t="n">
        <v>50</v>
      </c>
      <c r="G478" s="4" t="n">
        <v>0.1</v>
      </c>
    </row>
    <row r="479">
      <c r="A479" s="2" t="inlineStr">
        <is>
          <t>Мариновка Баранина</t>
        </is>
      </c>
      <c r="B479" s="2" t="inlineStr"/>
      <c r="C479" s="2" t="inlineStr">
        <is>
          <t>парика</t>
        </is>
      </c>
      <c r="D479" s="2" t="n">
        <v>50</v>
      </c>
      <c r="E479" s="2" t="inlineStr">
        <is>
          <t>г</t>
        </is>
      </c>
      <c r="F479" s="4" t="n">
        <v>20</v>
      </c>
      <c r="G479" s="4" t="n">
        <v>1</v>
      </c>
    </row>
    <row r="480">
      <c r="A480" s="2" t="inlineStr">
        <is>
          <t>Мариновка Баранина</t>
        </is>
      </c>
      <c r="B480" s="2" t="inlineStr"/>
      <c r="C480" s="2" t="inlineStr">
        <is>
          <t>мениралка</t>
        </is>
      </c>
      <c r="D480" s="2" t="n">
        <v>300</v>
      </c>
      <c r="E480" s="2" t="inlineStr">
        <is>
          <t>г</t>
        </is>
      </c>
      <c r="F480" s="4" t="n">
        <v>5</v>
      </c>
      <c r="G480" s="4" t="n">
        <v>1.5</v>
      </c>
    </row>
    <row r="481">
      <c r="C481" s="3" t="inlineStr">
        <is>
          <t>ИТОГО</t>
        </is>
      </c>
      <c r="F481" s="7" t="inlineStr">
        <is>
          <t>Цена: 37.0</t>
        </is>
      </c>
      <c r="G481" s="8" t="n">
        <v>0.2</v>
      </c>
    </row>
    <row r="482"/>
    <row r="483">
      <c r="A483" s="3" t="inlineStr">
        <is>
          <t>Мариновка Рбай На Мангали</t>
        </is>
      </c>
      <c r="B483" s="2" t="inlineStr">
        <is>
          <t>Полуфабрикаты мясные</t>
        </is>
      </c>
      <c r="C483" s="2" t="inlineStr">
        <is>
          <t>дандона</t>
        </is>
      </c>
      <c r="D483" s="2" t="n">
        <v>1000</v>
      </c>
      <c r="E483" s="2" t="inlineStr">
        <is>
          <t>г</t>
        </is>
      </c>
      <c r="F483" s="4" t="n">
        <v>125</v>
      </c>
      <c r="G483" s="4" t="n">
        <v>125</v>
      </c>
    </row>
    <row r="484">
      <c r="A484" s="2" t="inlineStr">
        <is>
          <t>Мариновка Рбай На Мангали</t>
        </is>
      </c>
      <c r="B484" s="2" t="inlineStr"/>
      <c r="C484" s="2" t="inlineStr">
        <is>
          <t>киви</t>
        </is>
      </c>
      <c r="D484" s="2" t="n">
        <v>40</v>
      </c>
      <c r="E484" s="2" t="inlineStr">
        <is>
          <t>г</t>
        </is>
      </c>
      <c r="F484" s="4" t="n">
        <v>30</v>
      </c>
      <c r="G484" s="4" t="n">
        <v>1.2</v>
      </c>
    </row>
    <row r="485">
      <c r="A485" s="2" t="inlineStr">
        <is>
          <t>Мариновка Рбай На Мангали</t>
        </is>
      </c>
      <c r="B485" s="2" t="inlineStr"/>
      <c r="C485" s="2" t="inlineStr">
        <is>
          <t>помидор</t>
        </is>
      </c>
      <c r="D485" s="2" t="n">
        <v>100</v>
      </c>
      <c r="E485" s="2" t="inlineStr">
        <is>
          <t>г</t>
        </is>
      </c>
      <c r="F485" s="4" t="n">
        <v>30</v>
      </c>
      <c r="G485" s="4" t="n">
        <v>3</v>
      </c>
    </row>
    <row r="486">
      <c r="A486" s="2" t="inlineStr">
        <is>
          <t>Мариновка Рбай На Мангали</t>
        </is>
      </c>
      <c r="B486" s="2" t="inlineStr"/>
      <c r="C486" s="2" t="inlineStr">
        <is>
          <t>пиез</t>
        </is>
      </c>
      <c r="D486" s="2" t="n">
        <v>100</v>
      </c>
      <c r="E486" s="2" t="inlineStr">
        <is>
          <t>г</t>
        </is>
      </c>
      <c r="F486" s="4" t="n">
        <v>10</v>
      </c>
      <c r="G486" s="4" t="n">
        <v>1</v>
      </c>
    </row>
    <row r="487">
      <c r="A487" s="2" t="inlineStr">
        <is>
          <t>Мариновка Рбай На Мангали</t>
        </is>
      </c>
      <c r="B487" s="2" t="inlineStr"/>
      <c r="C487" s="2" t="inlineStr">
        <is>
          <t>туз</t>
        </is>
      </c>
      <c r="D487" s="2" t="n">
        <v>17</v>
      </c>
      <c r="E487" s="2" t="inlineStr">
        <is>
          <t>г</t>
        </is>
      </c>
      <c r="F487" s="4" t="n">
        <v>2</v>
      </c>
      <c r="G487" s="4" t="n">
        <v>0.03</v>
      </c>
    </row>
    <row r="488">
      <c r="A488" s="2" t="inlineStr">
        <is>
          <t>Мариновка Рбай На Мангали</t>
        </is>
      </c>
      <c r="B488" s="2" t="inlineStr"/>
      <c r="C488" s="2" t="inlineStr">
        <is>
          <t>кашнич</t>
        </is>
      </c>
      <c r="D488" s="2" t="n">
        <v>5</v>
      </c>
      <c r="E488" s="2" t="inlineStr">
        <is>
          <t>г</t>
        </is>
      </c>
      <c r="F488" s="4" t="n">
        <v>50</v>
      </c>
      <c r="G488" s="4" t="n">
        <v>0.25</v>
      </c>
    </row>
    <row r="489">
      <c r="A489" s="2" t="inlineStr">
        <is>
          <t>Мариновка Рбай На Мангали</t>
        </is>
      </c>
      <c r="B489" s="2" t="inlineStr"/>
      <c r="C489" s="2" t="inlineStr">
        <is>
          <t>зира</t>
        </is>
      </c>
      <c r="D489" s="2" t="n">
        <v>5</v>
      </c>
      <c r="E489" s="2" t="inlineStr">
        <is>
          <t>г</t>
        </is>
      </c>
      <c r="F489" s="4" t="n">
        <v>100</v>
      </c>
      <c r="G489" s="4" t="n">
        <v>0.5</v>
      </c>
    </row>
    <row r="490">
      <c r="A490" s="2" t="inlineStr">
        <is>
          <t>Мариновка Рбай На Мангали</t>
        </is>
      </c>
      <c r="B490" s="2" t="inlineStr"/>
      <c r="C490" s="2" t="inlineStr">
        <is>
          <t>чиснок сущ</t>
        </is>
      </c>
      <c r="D490" s="2" t="n">
        <v>5</v>
      </c>
      <c r="E490" s="2" t="inlineStr">
        <is>
          <t>г</t>
        </is>
      </c>
      <c r="F490" s="4" t="n">
        <v>50</v>
      </c>
      <c r="G490" s="4" t="n">
        <v>0.25</v>
      </c>
    </row>
    <row r="491">
      <c r="A491" s="2" t="inlineStr">
        <is>
          <t>Мариновка Рбай На Мангали</t>
        </is>
      </c>
      <c r="B491" s="2" t="inlineStr"/>
      <c r="C491" s="2" t="inlineStr">
        <is>
          <t>мурч</t>
        </is>
      </c>
      <c r="D491" s="2" t="n">
        <v>2</v>
      </c>
      <c r="E491" s="2" t="inlineStr">
        <is>
          <t>г</t>
        </is>
      </c>
      <c r="F491" s="4" t="n">
        <v>50</v>
      </c>
      <c r="G491" s="4" t="n">
        <v>0.1</v>
      </c>
    </row>
    <row r="492">
      <c r="A492" s="2" t="inlineStr">
        <is>
          <t>Мариновка Рбай На Мангали</t>
        </is>
      </c>
      <c r="B492" s="2" t="inlineStr"/>
      <c r="C492" s="2" t="inlineStr">
        <is>
          <t>парика</t>
        </is>
      </c>
      <c r="D492" s="2" t="n">
        <v>50</v>
      </c>
      <c r="E492" s="2" t="inlineStr">
        <is>
          <t>г</t>
        </is>
      </c>
      <c r="F492" s="4" t="n">
        <v>20</v>
      </c>
      <c r="G492" s="4" t="n">
        <v>1</v>
      </c>
    </row>
    <row r="493">
      <c r="A493" s="2" t="inlineStr">
        <is>
          <t>Мариновка Рбай На Мангали</t>
        </is>
      </c>
      <c r="B493" s="2" t="inlineStr"/>
      <c r="C493" s="2" t="inlineStr">
        <is>
          <t>мениралка</t>
        </is>
      </c>
      <c r="D493" s="2" t="n">
        <v>300</v>
      </c>
      <c r="E493" s="2" t="inlineStr">
        <is>
          <t>г</t>
        </is>
      </c>
      <c r="F493" s="4" t="n">
        <v>5</v>
      </c>
      <c r="G493" s="4" t="n">
        <v>1.5</v>
      </c>
    </row>
    <row r="494">
      <c r="C494" s="3" t="inlineStr">
        <is>
          <t>ИТОГО</t>
        </is>
      </c>
      <c r="F494" s="7" t="inlineStr">
        <is>
          <t>Цена: 350.0</t>
        </is>
      </c>
      <c r="G494" s="8" t="n">
        <v>1</v>
      </c>
    </row>
    <row r="495"/>
    <row r="496">
      <c r="A496" s="3" t="inlineStr">
        <is>
          <t>Мариновка Корейка</t>
        </is>
      </c>
      <c r="B496" s="2" t="inlineStr">
        <is>
          <t>Полуфабрикаты мясные</t>
        </is>
      </c>
      <c r="C496" s="2" t="inlineStr">
        <is>
          <t>бар ребро</t>
        </is>
      </c>
      <c r="D496" s="2" t="n">
        <v>1000</v>
      </c>
      <c r="E496" s="2" t="inlineStr">
        <is>
          <t>г</t>
        </is>
      </c>
      <c r="F496" s="4" t="n">
        <v>105</v>
      </c>
      <c r="G496" s="4" t="n">
        <v>105</v>
      </c>
    </row>
    <row r="497">
      <c r="A497" s="2" t="inlineStr">
        <is>
          <t>Мариновка Корейка</t>
        </is>
      </c>
      <c r="B497" s="2" t="inlineStr"/>
      <c r="C497" s="2" t="inlineStr">
        <is>
          <t>киви</t>
        </is>
      </c>
      <c r="D497" s="2" t="n">
        <v>40</v>
      </c>
      <c r="E497" s="2" t="inlineStr">
        <is>
          <t>г</t>
        </is>
      </c>
      <c r="F497" s="4" t="n">
        <v>30</v>
      </c>
      <c r="G497" s="4" t="n">
        <v>1.2</v>
      </c>
    </row>
    <row r="498">
      <c r="A498" s="2" t="inlineStr">
        <is>
          <t>Мариновка Корейка</t>
        </is>
      </c>
      <c r="B498" s="2" t="inlineStr"/>
      <c r="C498" s="2" t="inlineStr">
        <is>
          <t>помидор</t>
        </is>
      </c>
      <c r="D498" s="2" t="n">
        <v>100</v>
      </c>
      <c r="E498" s="2" t="inlineStr">
        <is>
          <t>г</t>
        </is>
      </c>
      <c r="F498" s="4" t="n">
        <v>30</v>
      </c>
      <c r="G498" s="4" t="n">
        <v>3</v>
      </c>
    </row>
    <row r="499">
      <c r="A499" s="2" t="inlineStr">
        <is>
          <t>Мариновка Корейка</t>
        </is>
      </c>
      <c r="B499" s="2" t="inlineStr"/>
      <c r="C499" s="2" t="inlineStr">
        <is>
          <t>пиез</t>
        </is>
      </c>
      <c r="D499" s="2" t="n">
        <v>100</v>
      </c>
      <c r="E499" s="2" t="inlineStr">
        <is>
          <t>г</t>
        </is>
      </c>
      <c r="F499" s="4" t="n">
        <v>10</v>
      </c>
      <c r="G499" s="4" t="n">
        <v>1</v>
      </c>
    </row>
    <row r="500">
      <c r="A500" s="2" t="inlineStr">
        <is>
          <t>Мариновка Корейка</t>
        </is>
      </c>
      <c r="B500" s="2" t="inlineStr"/>
      <c r="C500" s="2" t="inlineStr">
        <is>
          <t>туз</t>
        </is>
      </c>
      <c r="D500" s="2" t="n">
        <v>17</v>
      </c>
      <c r="E500" s="2" t="inlineStr">
        <is>
          <t>г</t>
        </is>
      </c>
      <c r="F500" s="4" t="n">
        <v>2</v>
      </c>
      <c r="G500" s="4" t="n">
        <v>0.03</v>
      </c>
    </row>
    <row r="501">
      <c r="A501" s="2" t="inlineStr">
        <is>
          <t>Мариновка Корейка</t>
        </is>
      </c>
      <c r="B501" s="2" t="inlineStr"/>
      <c r="C501" s="2" t="inlineStr">
        <is>
          <t>кашнич</t>
        </is>
      </c>
      <c r="D501" s="2" t="n">
        <v>5</v>
      </c>
      <c r="E501" s="2" t="inlineStr">
        <is>
          <t>г</t>
        </is>
      </c>
      <c r="F501" s="4" t="n">
        <v>50</v>
      </c>
      <c r="G501" s="4" t="n">
        <v>0.25</v>
      </c>
    </row>
    <row r="502">
      <c r="A502" s="2" t="inlineStr">
        <is>
          <t>Мариновка Корейка</t>
        </is>
      </c>
      <c r="B502" s="2" t="inlineStr"/>
      <c r="C502" s="2" t="inlineStr">
        <is>
          <t>зира</t>
        </is>
      </c>
      <c r="D502" s="2" t="n">
        <v>5</v>
      </c>
      <c r="E502" s="2" t="inlineStr">
        <is>
          <t>г</t>
        </is>
      </c>
      <c r="F502" s="4" t="n">
        <v>100</v>
      </c>
      <c r="G502" s="4" t="n">
        <v>0.5</v>
      </c>
    </row>
    <row r="503">
      <c r="A503" s="2" t="inlineStr">
        <is>
          <t>Мариновка Корейка</t>
        </is>
      </c>
      <c r="B503" s="2" t="inlineStr"/>
      <c r="C503" s="2" t="inlineStr">
        <is>
          <t>чиснок сущ</t>
        </is>
      </c>
      <c r="D503" s="2" t="n">
        <v>5</v>
      </c>
      <c r="E503" s="2" t="inlineStr">
        <is>
          <t>г</t>
        </is>
      </c>
      <c r="F503" s="4" t="n">
        <v>50</v>
      </c>
      <c r="G503" s="4" t="n">
        <v>0.25</v>
      </c>
    </row>
    <row r="504">
      <c r="A504" s="2" t="inlineStr">
        <is>
          <t>Мариновка Корейка</t>
        </is>
      </c>
      <c r="B504" s="2" t="inlineStr"/>
      <c r="C504" s="2" t="inlineStr">
        <is>
          <t>мурч</t>
        </is>
      </c>
      <c r="D504" s="2" t="n">
        <v>2</v>
      </c>
      <c r="E504" s="2" t="inlineStr">
        <is>
          <t>г</t>
        </is>
      </c>
      <c r="F504" s="4" t="n">
        <v>50</v>
      </c>
      <c r="G504" s="4" t="n">
        <v>0.1</v>
      </c>
    </row>
    <row r="505">
      <c r="A505" s="2" t="inlineStr">
        <is>
          <t>Мариновка Корейка</t>
        </is>
      </c>
      <c r="B505" s="2" t="inlineStr"/>
      <c r="C505" s="2" t="inlineStr">
        <is>
          <t>парика</t>
        </is>
      </c>
      <c r="D505" s="2" t="n">
        <v>50</v>
      </c>
      <c r="E505" s="2" t="inlineStr">
        <is>
          <t>г</t>
        </is>
      </c>
      <c r="F505" s="4" t="n">
        <v>20</v>
      </c>
      <c r="G505" s="4" t="n">
        <v>1</v>
      </c>
    </row>
    <row r="506">
      <c r="A506" s="2" t="inlineStr">
        <is>
          <t>Мариновка Корейка</t>
        </is>
      </c>
      <c r="B506" s="2" t="inlineStr"/>
      <c r="C506" s="2" t="inlineStr">
        <is>
          <t>мениралка</t>
        </is>
      </c>
      <c r="D506" s="2" t="n">
        <v>300</v>
      </c>
      <c r="E506" s="2" t="inlineStr">
        <is>
          <t>г</t>
        </is>
      </c>
      <c r="F506" s="4" t="n">
        <v>5</v>
      </c>
      <c r="G506" s="4" t="n">
        <v>1.5</v>
      </c>
    </row>
    <row r="507">
      <c r="C507" s="3" t="inlineStr">
        <is>
          <t>ИТОГО</t>
        </is>
      </c>
      <c r="F507" s="7" t="inlineStr">
        <is>
          <t>Цена: 320.0</t>
        </is>
      </c>
      <c r="G507" s="8" t="n">
        <v>1</v>
      </c>
    </row>
    <row r="508"/>
    <row r="509">
      <c r="A509" s="3" t="inlineStr">
        <is>
          <t>Крилышки</t>
        </is>
      </c>
      <c r="B509" s="2" t="inlineStr">
        <is>
          <t>Полуфабрикаты мясные</t>
        </is>
      </c>
      <c r="C509" s="2" t="inlineStr">
        <is>
          <t>криля</t>
        </is>
      </c>
      <c r="D509" s="2" t="n">
        <v>1000</v>
      </c>
      <c r="E509" s="2" t="inlineStr">
        <is>
          <t>г</t>
        </is>
      </c>
      <c r="F509" s="4" t="n">
        <v>37.5</v>
      </c>
      <c r="G509" s="4" t="n">
        <v>37.5</v>
      </c>
    </row>
    <row r="510">
      <c r="A510" s="2" t="inlineStr">
        <is>
          <t>Крилышки</t>
        </is>
      </c>
      <c r="B510" s="2" t="inlineStr"/>
      <c r="C510" s="2" t="inlineStr">
        <is>
          <t>томат</t>
        </is>
      </c>
      <c r="D510" s="2" t="n">
        <v>200</v>
      </c>
      <c r="E510" s="2" t="inlineStr">
        <is>
          <t>г</t>
        </is>
      </c>
      <c r="F510" s="4" t="n">
        <v>25</v>
      </c>
      <c r="G510" s="4" t="n">
        <v>5</v>
      </c>
    </row>
    <row r="511">
      <c r="A511" s="2" t="inlineStr">
        <is>
          <t>Крилышки</t>
        </is>
      </c>
      <c r="B511" s="2" t="inlineStr"/>
      <c r="C511" s="2" t="inlineStr">
        <is>
          <t>асал</t>
        </is>
      </c>
      <c r="D511" s="2" t="n">
        <v>100</v>
      </c>
      <c r="E511" s="2" t="inlineStr">
        <is>
          <t>г</t>
        </is>
      </c>
      <c r="F511" s="4" t="n">
        <v>45</v>
      </c>
      <c r="G511" s="4" t="n">
        <v>4.5</v>
      </c>
    </row>
    <row r="512">
      <c r="A512" s="2" t="inlineStr">
        <is>
          <t>Крилышки</t>
        </is>
      </c>
      <c r="B512" s="2" t="inlineStr"/>
      <c r="C512" s="2" t="inlineStr">
        <is>
          <t>ег</t>
        </is>
      </c>
      <c r="D512" s="2" t="n">
        <v>100</v>
      </c>
      <c r="E512" s="2" t="inlineStr">
        <is>
          <t>г</t>
        </is>
      </c>
      <c r="F512" s="4" t="n">
        <v>17</v>
      </c>
      <c r="G512" s="4" t="n">
        <v>1.7</v>
      </c>
    </row>
    <row r="513">
      <c r="A513" s="2" t="inlineStr">
        <is>
          <t>Крилышки</t>
        </is>
      </c>
      <c r="B513" s="2" t="inlineStr"/>
      <c r="C513" s="2" t="inlineStr">
        <is>
          <t>туз</t>
        </is>
      </c>
      <c r="D513" s="2" t="n">
        <v>17</v>
      </c>
      <c r="E513" s="2" t="inlineStr">
        <is>
          <t>г</t>
        </is>
      </c>
      <c r="F513" s="4" t="n">
        <v>2</v>
      </c>
      <c r="G513" s="4" t="n">
        <v>0.03</v>
      </c>
    </row>
    <row r="514">
      <c r="A514" s="2" t="inlineStr">
        <is>
          <t>Крилышки</t>
        </is>
      </c>
      <c r="B514" s="2" t="inlineStr"/>
      <c r="C514" s="2" t="inlineStr">
        <is>
          <t>кашнич</t>
        </is>
      </c>
      <c r="D514" s="2" t="n">
        <v>5</v>
      </c>
      <c r="E514" s="2" t="inlineStr">
        <is>
          <t>г</t>
        </is>
      </c>
      <c r="F514" s="4" t="n">
        <v>50</v>
      </c>
      <c r="G514" s="4" t="n">
        <v>0.25</v>
      </c>
    </row>
    <row r="515">
      <c r="A515" s="2" t="inlineStr">
        <is>
          <t>Крилышки</t>
        </is>
      </c>
      <c r="B515" s="2" t="inlineStr"/>
      <c r="C515" s="2" t="inlineStr">
        <is>
          <t>зира</t>
        </is>
      </c>
      <c r="D515" s="2" t="n">
        <v>5</v>
      </c>
      <c r="E515" s="2" t="inlineStr">
        <is>
          <t>г</t>
        </is>
      </c>
      <c r="F515" s="4" t="n">
        <v>100</v>
      </c>
      <c r="G515" s="4" t="n">
        <v>0.5</v>
      </c>
    </row>
    <row r="516">
      <c r="A516" s="2" t="inlineStr">
        <is>
          <t>Крилышки</t>
        </is>
      </c>
      <c r="B516" s="2" t="inlineStr"/>
      <c r="C516" s="2" t="inlineStr">
        <is>
          <t>чиснок сущ</t>
        </is>
      </c>
      <c r="D516" s="2" t="n">
        <v>5</v>
      </c>
      <c r="E516" s="2" t="inlineStr">
        <is>
          <t>г</t>
        </is>
      </c>
      <c r="F516" s="4" t="n">
        <v>50</v>
      </c>
      <c r="G516" s="4" t="n">
        <v>0.25</v>
      </c>
    </row>
    <row r="517">
      <c r="A517" s="2" t="inlineStr">
        <is>
          <t>Крилышки</t>
        </is>
      </c>
      <c r="B517" s="2" t="inlineStr"/>
      <c r="C517" s="2" t="inlineStr">
        <is>
          <t>мурч</t>
        </is>
      </c>
      <c r="D517" s="2" t="n">
        <v>2</v>
      </c>
      <c r="E517" s="2" t="inlineStr">
        <is>
          <t>г</t>
        </is>
      </c>
      <c r="F517" s="4" t="n">
        <v>50</v>
      </c>
      <c r="G517" s="4" t="n">
        <v>0.1</v>
      </c>
    </row>
    <row r="518">
      <c r="A518" s="2" t="inlineStr">
        <is>
          <t>Крилышки</t>
        </is>
      </c>
      <c r="B518" s="2" t="inlineStr"/>
      <c r="C518" s="2" t="inlineStr">
        <is>
          <t>парика</t>
        </is>
      </c>
      <c r="D518" s="2" t="n">
        <v>50</v>
      </c>
      <c r="E518" s="2" t="inlineStr">
        <is>
          <t>г</t>
        </is>
      </c>
      <c r="F518" s="4" t="n">
        <v>20</v>
      </c>
      <c r="G518" s="4" t="n">
        <v>1</v>
      </c>
    </row>
    <row r="519">
      <c r="A519" s="2" t="inlineStr">
        <is>
          <t>Крилышки</t>
        </is>
      </c>
      <c r="B519" s="2" t="inlineStr"/>
      <c r="C519" s="2" t="inlineStr">
        <is>
          <t>соевый соус</t>
        </is>
      </c>
      <c r="D519" s="2" t="n">
        <v>100</v>
      </c>
      <c r="E519" s="2" t="inlineStr">
        <is>
          <t>г</t>
        </is>
      </c>
      <c r="F519" s="4" t="n">
        <v>26</v>
      </c>
      <c r="G519" s="4" t="n">
        <v>2.6</v>
      </c>
    </row>
    <row r="520">
      <c r="A520" s="2" t="inlineStr">
        <is>
          <t>Крилышки</t>
        </is>
      </c>
      <c r="B520" s="2" t="inlineStr"/>
      <c r="C520" s="2" t="inlineStr">
        <is>
          <t>жидкый дым</t>
        </is>
      </c>
      <c r="D520" s="2" t="n">
        <v>50</v>
      </c>
      <c r="E520" s="2" t="inlineStr">
        <is>
          <t>г</t>
        </is>
      </c>
      <c r="F520" s="4" t="n">
        <v>20</v>
      </c>
      <c r="G520" s="4" t="n">
        <v>1</v>
      </c>
    </row>
    <row r="521">
      <c r="C521" s="3" t="inlineStr">
        <is>
          <t>ИТОГО</t>
        </is>
      </c>
      <c r="F521" s="7" t="inlineStr">
        <is>
          <t>Цена: 17.0</t>
        </is>
      </c>
      <c r="G521" s="8" t="n">
        <v>0.25</v>
      </c>
    </row>
    <row r="522"/>
    <row r="523">
      <c r="A523" s="3" t="inlineStr">
        <is>
          <t>Ассорти</t>
        </is>
      </c>
      <c r="B523" s="2" t="inlineStr">
        <is>
          <t>Полуфабрикаты мясные</t>
        </is>
      </c>
      <c r="C523" s="2" t="inlineStr">
        <is>
          <t>фарш</t>
        </is>
      </c>
      <c r="D523" s="2" t="n">
        <v>500</v>
      </c>
      <c r="E523" s="2" t="inlineStr">
        <is>
          <t>г</t>
        </is>
      </c>
      <c r="F523" s="4" t="n">
        <v>95.59999999999999</v>
      </c>
      <c r="G523" s="4" t="n">
        <v>47.8</v>
      </c>
    </row>
    <row r="524">
      <c r="A524" s="2" t="inlineStr">
        <is>
          <t>Ассорти</t>
        </is>
      </c>
      <c r="B524" s="2" t="inlineStr"/>
      <c r="C524" s="2" t="inlineStr">
        <is>
          <t>думба</t>
        </is>
      </c>
      <c r="D524" s="2" t="n">
        <v>100</v>
      </c>
      <c r="E524" s="2" t="inlineStr">
        <is>
          <t>г</t>
        </is>
      </c>
      <c r="F524" s="4" t="n">
        <v>100</v>
      </c>
      <c r="G524" s="4" t="n">
        <v>10</v>
      </c>
    </row>
    <row r="525">
      <c r="A525" s="2" t="inlineStr">
        <is>
          <t>Ассорти</t>
        </is>
      </c>
      <c r="B525" s="2" t="inlineStr"/>
      <c r="C525" s="2" t="inlineStr">
        <is>
          <t>верзка</t>
        </is>
      </c>
      <c r="D525" s="2" t="n">
        <v>500</v>
      </c>
      <c r="E525" s="2" t="inlineStr">
        <is>
          <t>г</t>
        </is>
      </c>
      <c r="F525" s="4" t="n">
        <v>134</v>
      </c>
      <c r="G525" s="4" t="n">
        <v>67</v>
      </c>
    </row>
    <row r="526">
      <c r="C526" s="3" t="inlineStr">
        <is>
          <t>ИТОГО</t>
        </is>
      </c>
      <c r="G526" s="8" t="n">
        <v>19.29</v>
      </c>
    </row>
    <row r="527"/>
    <row r="528">
      <c r="A528" s="3" t="inlineStr">
        <is>
          <t>Рулет</t>
        </is>
      </c>
      <c r="B528" s="2" t="inlineStr">
        <is>
          <t>Полуфабрикаты мясные</t>
        </is>
      </c>
      <c r="C528" s="2" t="inlineStr">
        <is>
          <t>думба</t>
        </is>
      </c>
      <c r="D528" s="2" t="n">
        <v>500</v>
      </c>
      <c r="E528" s="2" t="inlineStr">
        <is>
          <t>г</t>
        </is>
      </c>
      <c r="F528" s="4" t="n">
        <v>100</v>
      </c>
      <c r="G528" s="4" t="n">
        <v>50</v>
      </c>
    </row>
    <row r="529">
      <c r="A529" s="2" t="inlineStr">
        <is>
          <t>Рулет</t>
        </is>
      </c>
      <c r="B529" s="2" t="inlineStr"/>
      <c r="C529" s="2" t="inlineStr">
        <is>
          <t>верзка</t>
        </is>
      </c>
      <c r="D529" s="2" t="n">
        <v>500</v>
      </c>
      <c r="E529" s="2" t="inlineStr">
        <is>
          <t>г</t>
        </is>
      </c>
      <c r="F529" s="4" t="n">
        <v>134</v>
      </c>
      <c r="G529" s="4" t="n">
        <v>67</v>
      </c>
    </row>
    <row r="530">
      <c r="C530" s="3" t="inlineStr">
        <is>
          <t>ИТОГО</t>
        </is>
      </c>
      <c r="G530" s="8" t="n">
        <v>19.89</v>
      </c>
    </row>
    <row r="531"/>
    <row r="532">
      <c r="A532" s="3" t="inlineStr">
        <is>
          <t>Котлет Домашный</t>
        </is>
      </c>
      <c r="B532" s="2" t="inlineStr">
        <is>
          <t>Полуфабрикаты мясные</t>
        </is>
      </c>
      <c r="C532" s="2" t="inlineStr">
        <is>
          <t>фарш</t>
        </is>
      </c>
      <c r="D532" s="2" t="n">
        <v>1000</v>
      </c>
      <c r="E532" s="2" t="inlineStr">
        <is>
          <t>г</t>
        </is>
      </c>
      <c r="F532" s="4" t="n">
        <v>95.59999999999999</v>
      </c>
      <c r="G532" s="4" t="n">
        <v>95.59999999999999</v>
      </c>
    </row>
    <row r="533">
      <c r="A533" s="2" t="inlineStr">
        <is>
          <t>Котлет Домашный</t>
        </is>
      </c>
      <c r="B533" s="2" t="inlineStr"/>
      <c r="C533" s="2" t="inlineStr">
        <is>
          <t>думба</t>
        </is>
      </c>
      <c r="D533" s="2" t="n">
        <v>100</v>
      </c>
      <c r="E533" s="2" t="inlineStr">
        <is>
          <t>г</t>
        </is>
      </c>
      <c r="F533" s="4" t="n">
        <v>100</v>
      </c>
      <c r="G533" s="4" t="n">
        <v>10</v>
      </c>
    </row>
    <row r="534">
      <c r="A534" s="2" t="inlineStr">
        <is>
          <t>Котлет Домашный</t>
        </is>
      </c>
      <c r="B534" s="2" t="inlineStr"/>
      <c r="C534" s="2" t="inlineStr">
        <is>
          <t>тухум</t>
        </is>
      </c>
      <c r="D534" s="2" t="n">
        <v>40</v>
      </c>
      <c r="E534" s="2" t="inlineStr">
        <is>
          <t>г</t>
        </is>
      </c>
      <c r="F534" s="4" t="n">
        <v>40</v>
      </c>
      <c r="G534" s="4" t="n">
        <v>1.6</v>
      </c>
    </row>
    <row r="535">
      <c r="A535" s="2" t="inlineStr">
        <is>
          <t>Котлет Домашный</t>
        </is>
      </c>
      <c r="B535" s="2" t="inlineStr"/>
      <c r="C535" s="2" t="inlineStr">
        <is>
          <t>хлеб</t>
        </is>
      </c>
      <c r="D535" s="2" t="n">
        <v>50</v>
      </c>
      <c r="E535" s="2" t="inlineStr">
        <is>
          <t>г</t>
        </is>
      </c>
      <c r="F535" s="4" t="n">
        <v>10</v>
      </c>
      <c r="G535" s="4" t="n">
        <v>0.5</v>
      </c>
    </row>
    <row r="536">
      <c r="A536" s="2" t="inlineStr">
        <is>
          <t>Котлет Домашный</t>
        </is>
      </c>
      <c r="B536" s="2" t="inlineStr"/>
      <c r="C536" s="2" t="inlineStr">
        <is>
          <t>сут</t>
        </is>
      </c>
      <c r="D536" s="2" t="n">
        <v>50</v>
      </c>
      <c r="E536" s="2" t="inlineStr">
        <is>
          <t>г</t>
        </is>
      </c>
      <c r="F536" s="4" t="n">
        <v>10</v>
      </c>
      <c r="G536" s="4" t="n">
        <v>0.5</v>
      </c>
    </row>
    <row r="537">
      <c r="C537" s="3" t="inlineStr">
        <is>
          <t>ИТОГО</t>
        </is>
      </c>
      <c r="G537" s="8" t="n">
        <v>13.09</v>
      </c>
    </row>
    <row r="538"/>
    <row r="539">
      <c r="A539" s="3" t="inlineStr">
        <is>
          <t>Паста Классик</t>
        </is>
      </c>
      <c r="B539" s="2" t="inlineStr">
        <is>
          <t>Вторые (заказные)</t>
        </is>
      </c>
      <c r="C539" s="2" t="inlineStr">
        <is>
          <t>кур гур</t>
        </is>
      </c>
      <c r="D539" s="2" t="n">
        <v>150</v>
      </c>
      <c r="E539" s="2" t="inlineStr">
        <is>
          <t>г</t>
        </is>
      </c>
      <c r="F539" s="4" t="n">
        <v>40</v>
      </c>
      <c r="G539" s="4" t="n">
        <v>6</v>
      </c>
    </row>
    <row r="540">
      <c r="A540" s="2" t="inlineStr">
        <is>
          <t>Паста Классик</t>
        </is>
      </c>
      <c r="B540" s="2" t="inlineStr"/>
      <c r="C540" s="2" t="inlineStr">
        <is>
          <t>грибы</t>
        </is>
      </c>
      <c r="D540" s="2" t="n">
        <v>50</v>
      </c>
      <c r="E540" s="2" t="inlineStr">
        <is>
          <t>г</t>
        </is>
      </c>
      <c r="F540" s="4" t="n">
        <v>96</v>
      </c>
      <c r="G540" s="4" t="n">
        <v>4.8</v>
      </c>
    </row>
    <row r="541">
      <c r="A541" s="2" t="inlineStr">
        <is>
          <t>Паста Классик</t>
        </is>
      </c>
      <c r="B541" s="2" t="inlineStr"/>
      <c r="C541" s="2" t="inlineStr">
        <is>
          <t>лапша</t>
        </is>
      </c>
      <c r="D541" s="2" t="n">
        <v>80</v>
      </c>
      <c r="E541" s="2" t="inlineStr">
        <is>
          <t>г</t>
        </is>
      </c>
      <c r="F541" s="4" t="n">
        <v>22</v>
      </c>
      <c r="G541" s="4" t="n">
        <v>1.76</v>
      </c>
    </row>
    <row r="542">
      <c r="A542" s="2" t="inlineStr">
        <is>
          <t>Паста Классик</t>
        </is>
      </c>
      <c r="B542" s="2" t="inlineStr"/>
      <c r="C542" s="2" t="inlineStr">
        <is>
          <t>сливки</t>
        </is>
      </c>
      <c r="D542" s="2" t="n">
        <v>80</v>
      </c>
      <c r="E542" s="2" t="inlineStr">
        <is>
          <t>г</t>
        </is>
      </c>
      <c r="F542" s="4" t="n">
        <v>70</v>
      </c>
      <c r="G542" s="4" t="n">
        <v>5.6</v>
      </c>
    </row>
    <row r="543">
      <c r="A543" s="2" t="inlineStr">
        <is>
          <t>Паста Классик</t>
        </is>
      </c>
      <c r="B543" s="2" t="inlineStr"/>
      <c r="C543" s="2" t="inlineStr">
        <is>
          <t>пармизан сыр</t>
        </is>
      </c>
      <c r="D543" s="2" t="n">
        <v>5</v>
      </c>
      <c r="E543" s="2" t="inlineStr">
        <is>
          <t>г</t>
        </is>
      </c>
      <c r="F543" s="4" t="n">
        <v>220</v>
      </c>
      <c r="G543" s="4" t="n">
        <v>1.1</v>
      </c>
    </row>
    <row r="544">
      <c r="A544" s="2" t="inlineStr">
        <is>
          <t>Паста Классик</t>
        </is>
      </c>
      <c r="B544" s="2" t="inlineStr"/>
      <c r="C544" s="2" t="inlineStr">
        <is>
          <t>оливкий масло</t>
        </is>
      </c>
      <c r="D544" s="2" t="n">
        <v>20</v>
      </c>
      <c r="E544" s="2" t="inlineStr">
        <is>
          <t>г</t>
        </is>
      </c>
      <c r="F544" s="4" t="n">
        <v>45</v>
      </c>
      <c r="G544" s="4" t="n">
        <v>0.9</v>
      </c>
    </row>
    <row r="545">
      <c r="C545" s="3" t="inlineStr">
        <is>
          <t>ИТОГО</t>
        </is>
      </c>
      <c r="G545" s="8" t="n">
        <v>20.16</v>
      </c>
    </row>
    <row r="546"/>
    <row r="547">
      <c r="A547" s="3" t="inlineStr">
        <is>
          <t>Паста Чаханский</t>
        </is>
      </c>
      <c r="B547" s="2" t="inlineStr">
        <is>
          <t>Вторые (заказные)</t>
        </is>
      </c>
      <c r="C547" s="2" t="inlineStr">
        <is>
          <t>тил</t>
        </is>
      </c>
      <c r="D547" s="2" t="n">
        <v>100</v>
      </c>
      <c r="E547" s="2" t="inlineStr">
        <is>
          <t>г</t>
        </is>
      </c>
      <c r="F547" s="4" t="n">
        <v>125</v>
      </c>
      <c r="G547" s="4" t="n">
        <v>12.5</v>
      </c>
    </row>
    <row r="548">
      <c r="A548" s="2" t="inlineStr">
        <is>
          <t>Паста Чаханский</t>
        </is>
      </c>
      <c r="B548" s="2" t="inlineStr"/>
      <c r="C548" s="2" t="inlineStr">
        <is>
          <t>грибы</t>
        </is>
      </c>
      <c r="D548" s="2" t="n">
        <v>50</v>
      </c>
      <c r="E548" s="2" t="inlineStr">
        <is>
          <t>г</t>
        </is>
      </c>
      <c r="F548" s="4" t="n">
        <v>96</v>
      </c>
      <c r="G548" s="4" t="n">
        <v>4.8</v>
      </c>
    </row>
    <row r="549">
      <c r="A549" s="2" t="inlineStr">
        <is>
          <t>Паста Чаханский</t>
        </is>
      </c>
      <c r="B549" s="2" t="inlineStr"/>
      <c r="C549" s="2" t="inlineStr">
        <is>
          <t>лапша</t>
        </is>
      </c>
      <c r="D549" s="2" t="n">
        <v>80</v>
      </c>
      <c r="E549" s="2" t="inlineStr">
        <is>
          <t>г</t>
        </is>
      </c>
      <c r="F549" s="4" t="n">
        <v>22</v>
      </c>
      <c r="G549" s="4" t="n">
        <v>1.76</v>
      </c>
    </row>
    <row r="550">
      <c r="A550" s="2" t="inlineStr">
        <is>
          <t>Паста Чаханский</t>
        </is>
      </c>
      <c r="B550" s="2" t="inlineStr"/>
      <c r="C550" s="2" t="inlineStr">
        <is>
          <t>сливки</t>
        </is>
      </c>
      <c r="D550" s="2" t="n">
        <v>80</v>
      </c>
      <c r="E550" s="2" t="inlineStr">
        <is>
          <t>г</t>
        </is>
      </c>
      <c r="F550" s="4" t="n">
        <v>70</v>
      </c>
      <c r="G550" s="4" t="n">
        <v>5.6</v>
      </c>
    </row>
    <row r="551">
      <c r="A551" s="2" t="inlineStr">
        <is>
          <t>Паста Чаханский</t>
        </is>
      </c>
      <c r="B551" s="2" t="inlineStr"/>
      <c r="C551" s="2" t="inlineStr">
        <is>
          <t>пармизан сыр</t>
        </is>
      </c>
      <c r="D551" s="2" t="n">
        <v>5</v>
      </c>
      <c r="E551" s="2" t="inlineStr">
        <is>
          <t>г</t>
        </is>
      </c>
      <c r="F551" s="4" t="n">
        <v>220</v>
      </c>
      <c r="G551" s="4" t="n">
        <v>1.1</v>
      </c>
    </row>
    <row r="552">
      <c r="A552" s="2" t="inlineStr">
        <is>
          <t>Паста Чаханский</t>
        </is>
      </c>
      <c r="B552" s="2" t="inlineStr"/>
      <c r="C552" s="2" t="inlineStr">
        <is>
          <t>кази</t>
        </is>
      </c>
      <c r="D552" s="2" t="n">
        <v>25</v>
      </c>
      <c r="E552" s="2" t="inlineStr">
        <is>
          <t>г</t>
        </is>
      </c>
      <c r="F552" s="4" t="n">
        <v>200</v>
      </c>
      <c r="G552" s="4" t="n">
        <v>5</v>
      </c>
    </row>
    <row r="553">
      <c r="C553" s="3" t="inlineStr">
        <is>
          <t>ИТОГО</t>
        </is>
      </c>
      <c r="G553" s="8" t="n">
        <v>30.76</v>
      </c>
    </row>
    <row r="554"/>
    <row r="555">
      <c r="A555" s="3" t="inlineStr">
        <is>
          <t>Медалион В Сливочном Соусе</t>
        </is>
      </c>
      <c r="B555" s="2" t="inlineStr">
        <is>
          <t>Вторые (заказные)</t>
        </is>
      </c>
      <c r="C555" s="2" t="inlineStr">
        <is>
          <t>верзка</t>
        </is>
      </c>
      <c r="D555" s="2" t="n">
        <v>170</v>
      </c>
      <c r="E555" s="2" t="inlineStr">
        <is>
          <t>г</t>
        </is>
      </c>
      <c r="F555" s="4" t="n">
        <v>130</v>
      </c>
      <c r="G555" s="4" t="n">
        <v>22.1</v>
      </c>
    </row>
    <row r="556">
      <c r="A556" s="2" t="inlineStr">
        <is>
          <t>Медалион В Сливочном Соусе</t>
        </is>
      </c>
      <c r="B556" s="2" t="inlineStr"/>
      <c r="C556" s="2" t="inlineStr">
        <is>
          <t>картошка</t>
        </is>
      </c>
      <c r="D556" s="2" t="n">
        <v>100</v>
      </c>
      <c r="E556" s="2" t="inlineStr">
        <is>
          <t>г</t>
        </is>
      </c>
      <c r="F556" s="4" t="n">
        <v>10</v>
      </c>
      <c r="G556" s="4" t="n">
        <v>1</v>
      </c>
    </row>
    <row r="557">
      <c r="A557" s="2" t="inlineStr">
        <is>
          <t>Медалион В Сливочном Соусе</t>
        </is>
      </c>
      <c r="B557" s="2" t="inlineStr"/>
      <c r="C557" s="2" t="inlineStr">
        <is>
          <t>виола</t>
        </is>
      </c>
      <c r="D557" s="2" t="n">
        <v>40</v>
      </c>
      <c r="E557" s="2" t="inlineStr">
        <is>
          <t>г</t>
        </is>
      </c>
      <c r="F557" s="4" t="n">
        <v>112</v>
      </c>
      <c r="G557" s="4" t="n">
        <v>4.48</v>
      </c>
    </row>
    <row r="558">
      <c r="A558" s="2" t="inlineStr">
        <is>
          <t>Медалион В Сливочном Соусе</t>
        </is>
      </c>
      <c r="B558" s="2" t="inlineStr"/>
      <c r="C558" s="2" t="inlineStr">
        <is>
          <t>сливки</t>
        </is>
      </c>
      <c r="D558" s="2" t="n">
        <v>80</v>
      </c>
      <c r="E558" s="2" t="inlineStr">
        <is>
          <t>г</t>
        </is>
      </c>
      <c r="F558" s="4" t="n">
        <v>70</v>
      </c>
      <c r="G558" s="4" t="n">
        <v>5.6</v>
      </c>
    </row>
    <row r="559">
      <c r="A559" s="2" t="inlineStr">
        <is>
          <t>Медалион В Сливочном Соусе</t>
        </is>
      </c>
      <c r="B559" s="2" t="inlineStr"/>
      <c r="C559" s="2" t="inlineStr">
        <is>
          <t>пармизан сыр</t>
        </is>
      </c>
      <c r="D559" s="2" t="n">
        <v>40</v>
      </c>
      <c r="E559" s="2" t="inlineStr">
        <is>
          <t>г</t>
        </is>
      </c>
      <c r="F559" s="4" t="n">
        <v>220</v>
      </c>
      <c r="G559" s="4" t="n">
        <v>8.800000000000001</v>
      </c>
    </row>
    <row r="560">
      <c r="A560" s="2" t="inlineStr">
        <is>
          <t>Медалион В Сливочном Соусе</t>
        </is>
      </c>
      <c r="B560" s="2" t="inlineStr"/>
      <c r="C560" s="2" t="inlineStr">
        <is>
          <t>оливкий масло</t>
        </is>
      </c>
      <c r="D560" s="2" t="n">
        <v>20</v>
      </c>
      <c r="E560" s="2" t="inlineStr">
        <is>
          <t>г</t>
        </is>
      </c>
      <c r="F560" s="4" t="n">
        <v>45</v>
      </c>
      <c r="G560" s="4" t="n">
        <v>0.9</v>
      </c>
    </row>
    <row r="561">
      <c r="A561" s="2" t="inlineStr">
        <is>
          <t>Медалион В Сливочном Соусе</t>
        </is>
      </c>
      <c r="B561" s="2" t="inlineStr"/>
      <c r="C561" s="2" t="inlineStr">
        <is>
          <t>соевый соус</t>
        </is>
      </c>
      <c r="D561" s="2" t="n">
        <v>10</v>
      </c>
      <c r="E561" s="2" t="inlineStr">
        <is>
          <t>г</t>
        </is>
      </c>
      <c r="F561" s="4" t="n">
        <v>26</v>
      </c>
      <c r="G561" s="4" t="n">
        <v>0.26</v>
      </c>
    </row>
    <row r="562">
      <c r="C562" s="3" t="inlineStr">
        <is>
          <t>ИТОГО</t>
        </is>
      </c>
      <c r="G562" s="8" t="n">
        <v>43.14</v>
      </c>
    </row>
    <row r="563"/>
    <row r="564">
      <c r="A564" s="3" t="inlineStr">
        <is>
          <t>Божество</t>
        </is>
      </c>
      <c r="B564" s="2" t="inlineStr">
        <is>
          <t>Вторые (заказные)</t>
        </is>
      </c>
      <c r="C564" s="2" t="inlineStr">
        <is>
          <t>тил</t>
        </is>
      </c>
      <c r="D564" s="2" t="n">
        <v>150</v>
      </c>
      <c r="E564" s="2" t="inlineStr">
        <is>
          <t>г</t>
        </is>
      </c>
      <c r="F564" s="4" t="n">
        <v>125</v>
      </c>
      <c r="G564" s="4" t="n">
        <v>18.75</v>
      </c>
    </row>
    <row r="565">
      <c r="A565" s="2" t="inlineStr">
        <is>
          <t>Божество</t>
        </is>
      </c>
      <c r="B565" s="2" t="inlineStr"/>
      <c r="C565" s="2" t="inlineStr">
        <is>
          <t>писта</t>
        </is>
      </c>
      <c r="D565" s="2" t="n">
        <v>20</v>
      </c>
      <c r="E565" s="2" t="inlineStr">
        <is>
          <t>г</t>
        </is>
      </c>
      <c r="F565" s="4" t="n">
        <v>200</v>
      </c>
      <c r="G565" s="4" t="n">
        <v>4</v>
      </c>
    </row>
    <row r="566">
      <c r="A566" s="2" t="inlineStr">
        <is>
          <t>Божество</t>
        </is>
      </c>
      <c r="B566" s="2" t="inlineStr"/>
      <c r="C566" s="2" t="inlineStr">
        <is>
          <t>виола</t>
        </is>
      </c>
      <c r="D566" s="2" t="n">
        <v>40</v>
      </c>
      <c r="E566" s="2" t="inlineStr">
        <is>
          <t>г</t>
        </is>
      </c>
      <c r="F566" s="4" t="n">
        <v>112</v>
      </c>
      <c r="G566" s="4" t="n">
        <v>4.48</v>
      </c>
    </row>
    <row r="567">
      <c r="A567" s="2" t="inlineStr">
        <is>
          <t>Божество</t>
        </is>
      </c>
      <c r="B567" s="2" t="inlineStr"/>
      <c r="C567" s="2" t="inlineStr">
        <is>
          <t>сливки</t>
        </is>
      </c>
      <c r="D567" s="2" t="n">
        <v>80</v>
      </c>
      <c r="E567" s="2" t="inlineStr">
        <is>
          <t>г</t>
        </is>
      </c>
      <c r="F567" s="4" t="n">
        <v>70</v>
      </c>
      <c r="G567" s="4" t="n">
        <v>5.6</v>
      </c>
    </row>
    <row r="568">
      <c r="A568" s="2" t="inlineStr">
        <is>
          <t>Божество</t>
        </is>
      </c>
      <c r="B568" s="2" t="inlineStr"/>
      <c r="C568" s="2" t="inlineStr">
        <is>
          <t>пармизан сыр</t>
        </is>
      </c>
      <c r="D568" s="2" t="n">
        <v>10</v>
      </c>
      <c r="E568" s="2" t="inlineStr">
        <is>
          <t>г</t>
        </is>
      </c>
      <c r="F568" s="4" t="n">
        <v>220</v>
      </c>
      <c r="G568" s="4" t="n">
        <v>2.2</v>
      </c>
    </row>
    <row r="569">
      <c r="A569" s="2" t="inlineStr">
        <is>
          <t>Божество</t>
        </is>
      </c>
      <c r="B569" s="2" t="inlineStr"/>
      <c r="C569" s="2" t="inlineStr">
        <is>
          <t>оливкий масло</t>
        </is>
      </c>
      <c r="D569" s="2" t="n">
        <v>20</v>
      </c>
      <c r="E569" s="2" t="inlineStr">
        <is>
          <t>г</t>
        </is>
      </c>
      <c r="F569" s="4" t="n">
        <v>45</v>
      </c>
      <c r="G569" s="4" t="n">
        <v>0.9</v>
      </c>
    </row>
    <row r="570">
      <c r="A570" s="2" t="inlineStr">
        <is>
          <t>Божество</t>
        </is>
      </c>
      <c r="B570" s="2" t="inlineStr"/>
      <c r="C570" s="2" t="inlineStr">
        <is>
          <t>сарег</t>
        </is>
      </c>
      <c r="D570" s="2" t="n">
        <v>20</v>
      </c>
      <c r="E570" s="2" t="inlineStr">
        <is>
          <t>г</t>
        </is>
      </c>
      <c r="F570" s="4" t="n">
        <v>40</v>
      </c>
      <c r="G570" s="4" t="n">
        <v>0.8</v>
      </c>
    </row>
    <row r="571">
      <c r="C571" s="3" t="inlineStr">
        <is>
          <t>ИТОГО</t>
        </is>
      </c>
      <c r="G571" s="8" t="n">
        <v>36.73</v>
      </c>
    </row>
    <row r="572"/>
    <row r="573">
      <c r="A573" s="3" t="inlineStr">
        <is>
          <t>Вагури</t>
        </is>
      </c>
      <c r="B573" s="2" t="inlineStr">
        <is>
          <t>Вторые (заказные)</t>
        </is>
      </c>
      <c r="C573" s="2" t="inlineStr">
        <is>
          <t>баранина ребро</t>
        </is>
      </c>
      <c r="D573" s="2" t="n">
        <v>1000</v>
      </c>
      <c r="E573" s="2" t="inlineStr">
        <is>
          <t>г</t>
        </is>
      </c>
      <c r="F573" s="4" t="n">
        <v>105</v>
      </c>
      <c r="G573" s="4" t="n">
        <v>105</v>
      </c>
    </row>
    <row r="574">
      <c r="A574" s="2" t="inlineStr">
        <is>
          <t>Вагури</t>
        </is>
      </c>
      <c r="B574" s="2" t="inlineStr"/>
      <c r="C574" s="2" t="inlineStr">
        <is>
          <t>ег</t>
        </is>
      </c>
      <c r="D574" s="2" t="n">
        <v>1000</v>
      </c>
      <c r="E574" s="2" t="inlineStr">
        <is>
          <t>г</t>
        </is>
      </c>
      <c r="F574" s="4" t="n">
        <v>17</v>
      </c>
      <c r="G574" s="4" t="n">
        <v>17</v>
      </c>
    </row>
    <row r="575">
      <c r="A575" s="2" t="inlineStr">
        <is>
          <t>Вагури</t>
        </is>
      </c>
      <c r="B575" s="2" t="inlineStr"/>
      <c r="C575" s="2" t="inlineStr">
        <is>
          <t>картошка фри</t>
        </is>
      </c>
      <c r="D575" s="2" t="n">
        <v>450</v>
      </c>
      <c r="E575" s="2" t="inlineStr">
        <is>
          <t>г</t>
        </is>
      </c>
      <c r="F575" s="4" t="n">
        <v>20</v>
      </c>
      <c r="G575" s="4" t="n">
        <v>9</v>
      </c>
    </row>
    <row r="576">
      <c r="A576" s="2" t="inlineStr">
        <is>
          <t>Вагури</t>
        </is>
      </c>
      <c r="B576" s="2" t="inlineStr"/>
      <c r="C576" s="2" t="inlineStr">
        <is>
          <t>вых</t>
        </is>
      </c>
      <c r="D576" s="2" t="n">
        <v>700</v>
      </c>
      <c r="E576" s="2" t="inlineStr">
        <is>
          <t>г</t>
        </is>
      </c>
      <c r="F576" s="4" t="n">
        <v>0</v>
      </c>
      <c r="G576" s="4" t="n">
        <v>0</v>
      </c>
    </row>
    <row r="577">
      <c r="C577" s="3" t="inlineStr">
        <is>
          <t>ИТОГО</t>
        </is>
      </c>
      <c r="G577" s="8" t="n">
        <v>131</v>
      </c>
    </row>
    <row r="578"/>
    <row r="579">
      <c r="A579" s="3" t="inlineStr">
        <is>
          <t>Ягненка Баранина</t>
        </is>
      </c>
      <c r="B579" s="2" t="inlineStr">
        <is>
          <t>Вторые (заказные)</t>
        </is>
      </c>
      <c r="C579" s="2" t="inlineStr">
        <is>
          <t>баранина ребро</t>
        </is>
      </c>
      <c r="D579" s="2" t="n">
        <v>1000</v>
      </c>
      <c r="E579" s="2" t="inlineStr">
        <is>
          <t>г</t>
        </is>
      </c>
      <c r="F579" s="4" t="n">
        <v>105</v>
      </c>
      <c r="G579" s="4" t="n">
        <v>105</v>
      </c>
    </row>
    <row r="580">
      <c r="A580" s="2" t="inlineStr">
        <is>
          <t>Ягненка Баранина</t>
        </is>
      </c>
      <c r="B580" s="2" t="inlineStr"/>
      <c r="C580" s="2" t="inlineStr">
        <is>
          <t>ег</t>
        </is>
      </c>
      <c r="D580" s="2" t="n">
        <v>1000</v>
      </c>
      <c r="E580" s="2" t="inlineStr">
        <is>
          <t>г</t>
        </is>
      </c>
      <c r="F580" s="4" t="n">
        <v>17</v>
      </c>
      <c r="G580" s="4" t="n">
        <v>17</v>
      </c>
    </row>
    <row r="581">
      <c r="A581" s="2" t="inlineStr">
        <is>
          <t>Ягненка Баранина</t>
        </is>
      </c>
      <c r="B581" s="2" t="inlineStr"/>
      <c r="C581" s="2" t="inlineStr">
        <is>
          <t>картошка фри</t>
        </is>
      </c>
      <c r="D581" s="2" t="n">
        <v>450</v>
      </c>
      <c r="E581" s="2" t="inlineStr">
        <is>
          <t>г</t>
        </is>
      </c>
      <c r="F581" s="4" t="n">
        <v>20</v>
      </c>
      <c r="G581" s="4" t="n">
        <v>9</v>
      </c>
    </row>
    <row r="582">
      <c r="A582" s="2" t="inlineStr">
        <is>
          <t>Ягненка Баранина</t>
        </is>
      </c>
      <c r="B582" s="2" t="inlineStr"/>
      <c r="C582" s="2" t="inlineStr">
        <is>
          <t>вых</t>
        </is>
      </c>
      <c r="D582" s="2" t="n">
        <v>800</v>
      </c>
      <c r="E582" s="2" t="inlineStr">
        <is>
          <t>г</t>
        </is>
      </c>
      <c r="F582" s="4" t="n">
        <v>0</v>
      </c>
      <c r="G582" s="4" t="n">
        <v>0</v>
      </c>
    </row>
    <row r="583">
      <c r="C583" s="3" t="inlineStr">
        <is>
          <t>ИТОГО</t>
        </is>
      </c>
      <c r="G583" s="8" t="n">
        <v>131</v>
      </c>
    </row>
    <row r="584"/>
    <row r="585">
      <c r="A585" s="3" t="inlineStr">
        <is>
          <t>Виагра</t>
        </is>
      </c>
      <c r="B585" s="2" t="inlineStr">
        <is>
          <t>Вторые (заказные)</t>
        </is>
      </c>
      <c r="C585" s="2" t="inlineStr">
        <is>
          <t>тил баранина</t>
        </is>
      </c>
      <c r="D585" s="2" t="n">
        <v>80</v>
      </c>
      <c r="E585" s="2" t="inlineStr">
        <is>
          <t>г</t>
        </is>
      </c>
      <c r="F585" s="4" t="n">
        <v>108</v>
      </c>
      <c r="G585" s="4" t="n">
        <v>8.640000000000001</v>
      </c>
    </row>
    <row r="586">
      <c r="A586" s="2" t="inlineStr">
        <is>
          <t>Виагра</t>
        </is>
      </c>
      <c r="B586" s="2" t="inlineStr"/>
      <c r="C586" s="2" t="inlineStr">
        <is>
          <t>кази от</t>
        </is>
      </c>
      <c r="D586" s="2" t="n">
        <v>80</v>
      </c>
      <c r="E586" s="2" t="inlineStr">
        <is>
          <t>г</t>
        </is>
      </c>
      <c r="F586" s="4" t="n">
        <v>200</v>
      </c>
      <c r="G586" s="4" t="n">
        <v>16</v>
      </c>
    </row>
    <row r="587">
      <c r="A587" s="2" t="inlineStr">
        <is>
          <t>Виагра</t>
        </is>
      </c>
      <c r="B587" s="2" t="inlineStr"/>
      <c r="C587" s="2" t="inlineStr">
        <is>
          <t>вых</t>
        </is>
      </c>
      <c r="D587" s="2" t="n">
        <v>700</v>
      </c>
      <c r="E587" s="2" t="inlineStr">
        <is>
          <t>г</t>
        </is>
      </c>
      <c r="F587" s="4" t="n">
        <v>0</v>
      </c>
      <c r="G587" s="4" t="n">
        <v>0</v>
      </c>
    </row>
    <row r="588">
      <c r="C588" s="3" t="inlineStr">
        <is>
          <t>ИТОГО</t>
        </is>
      </c>
      <c r="G588" s="8" t="n">
        <v>24.64</v>
      </c>
    </row>
    <row r="589"/>
    <row r="590">
      <c r="A590" s="3" t="inlineStr">
        <is>
          <t>Чупонча</t>
        </is>
      </c>
      <c r="B590" s="2" t="inlineStr">
        <is>
          <t>Вторые (заказные)</t>
        </is>
      </c>
      <c r="C590" s="2" t="inlineStr">
        <is>
          <t>верзка</t>
        </is>
      </c>
      <c r="D590" s="2" t="n">
        <v>150</v>
      </c>
      <c r="E590" s="2" t="inlineStr">
        <is>
          <t>г</t>
        </is>
      </c>
      <c r="F590" s="4" t="n">
        <v>130</v>
      </c>
      <c r="G590" s="4" t="n">
        <v>19.5</v>
      </c>
    </row>
    <row r="591">
      <c r="A591" s="2" t="inlineStr">
        <is>
          <t>Чупонча</t>
        </is>
      </c>
      <c r="B591" s="2" t="inlineStr"/>
      <c r="C591" s="2" t="inlineStr">
        <is>
          <t>картошка</t>
        </is>
      </c>
      <c r="D591" s="2" t="n">
        <v>200</v>
      </c>
      <c r="E591" s="2" t="inlineStr">
        <is>
          <t>г</t>
        </is>
      </c>
      <c r="F591" s="4" t="n">
        <v>10</v>
      </c>
      <c r="G591" s="4" t="n">
        <v>2</v>
      </c>
    </row>
    <row r="592">
      <c r="A592" s="2" t="inlineStr">
        <is>
          <t>Чупонча</t>
        </is>
      </c>
      <c r="B592" s="2" t="inlineStr"/>
      <c r="C592" s="2" t="inlineStr">
        <is>
          <t>соквый соус</t>
        </is>
      </c>
      <c r="D592" s="2" t="n">
        <v>20</v>
      </c>
      <c r="E592" s="2" t="inlineStr">
        <is>
          <t>г</t>
        </is>
      </c>
      <c r="F592" s="4" t="n">
        <v>26</v>
      </c>
      <c r="G592" s="4" t="n">
        <v>0.52</v>
      </c>
    </row>
    <row r="593">
      <c r="A593" s="2" t="inlineStr">
        <is>
          <t>Чупонча</t>
        </is>
      </c>
      <c r="B593" s="2" t="inlineStr"/>
      <c r="C593" s="2" t="inlineStr">
        <is>
          <t>микс</t>
        </is>
      </c>
      <c r="D593" s="2" t="n">
        <v>50</v>
      </c>
      <c r="E593" s="2" t="inlineStr">
        <is>
          <t>г</t>
        </is>
      </c>
      <c r="F593" s="4" t="n">
        <v>50</v>
      </c>
      <c r="G593" s="4" t="n">
        <v>2.5</v>
      </c>
    </row>
    <row r="594">
      <c r="A594" s="2" t="inlineStr">
        <is>
          <t>Чупонча</t>
        </is>
      </c>
      <c r="B594" s="2" t="inlineStr"/>
      <c r="C594" s="2" t="inlineStr">
        <is>
          <t>балзам</t>
        </is>
      </c>
      <c r="D594" s="2" t="n">
        <v>15</v>
      </c>
      <c r="E594" s="2" t="inlineStr">
        <is>
          <t>г</t>
        </is>
      </c>
      <c r="F594" s="4" t="n">
        <v>230</v>
      </c>
      <c r="G594" s="4" t="n">
        <v>3.45</v>
      </c>
    </row>
    <row r="595">
      <c r="A595" s="2" t="inlineStr">
        <is>
          <t>Чупонча</t>
        </is>
      </c>
      <c r="B595" s="2" t="inlineStr"/>
      <c r="C595" s="2" t="inlineStr">
        <is>
          <t>соус</t>
        </is>
      </c>
      <c r="D595" s="2" t="n">
        <v>20</v>
      </c>
      <c r="E595" s="2" t="inlineStr">
        <is>
          <t>г</t>
        </is>
      </c>
      <c r="F595" s="4" t="n">
        <v>20</v>
      </c>
      <c r="G595" s="4" t="n">
        <v>0.4</v>
      </c>
    </row>
    <row r="596">
      <c r="A596" s="2" t="inlineStr">
        <is>
          <t>Чупонча</t>
        </is>
      </c>
      <c r="B596" s="2" t="inlineStr"/>
      <c r="C596" s="2" t="inlineStr">
        <is>
          <t>пиез</t>
        </is>
      </c>
      <c r="D596" s="2" t="n">
        <v>30</v>
      </c>
      <c r="E596" s="2" t="inlineStr">
        <is>
          <t>г</t>
        </is>
      </c>
      <c r="F596" s="4" t="n">
        <v>10</v>
      </c>
      <c r="G596" s="4" t="n">
        <v>0.3</v>
      </c>
    </row>
    <row r="597">
      <c r="A597" s="2" t="inlineStr">
        <is>
          <t>Чупонча</t>
        </is>
      </c>
      <c r="B597" s="2" t="inlineStr"/>
      <c r="C597" s="2" t="inlineStr">
        <is>
          <t>вых</t>
        </is>
      </c>
      <c r="D597" s="2" t="n">
        <v>1000</v>
      </c>
      <c r="E597" s="2" t="inlineStr">
        <is>
          <t>г</t>
        </is>
      </c>
      <c r="F597" s="4" t="n">
        <v>0</v>
      </c>
      <c r="G597" s="4" t="n">
        <v>0</v>
      </c>
    </row>
    <row r="598">
      <c r="C598" s="3" t="inlineStr">
        <is>
          <t>ИТОГО</t>
        </is>
      </c>
      <c r="G598" s="8" t="n">
        <v>28.67</v>
      </c>
    </row>
    <row r="599"/>
    <row r="600">
      <c r="A600" s="3" t="inlineStr">
        <is>
          <t>Картошка По Домашному</t>
        </is>
      </c>
      <c r="B600" s="2" t="inlineStr">
        <is>
          <t>Вторые (заказные)</t>
        </is>
      </c>
      <c r="C600" s="2" t="inlineStr">
        <is>
          <t>верзка</t>
        </is>
      </c>
      <c r="D600" s="2" t="n">
        <v>150</v>
      </c>
      <c r="E600" s="2" t="inlineStr">
        <is>
          <t>г</t>
        </is>
      </c>
      <c r="F600" s="4" t="n">
        <v>130</v>
      </c>
      <c r="G600" s="4" t="n">
        <v>19.5</v>
      </c>
    </row>
    <row r="601">
      <c r="A601" s="2" t="inlineStr">
        <is>
          <t>Картошка По Домашному</t>
        </is>
      </c>
      <c r="B601" s="2" t="inlineStr"/>
      <c r="C601" s="2" t="inlineStr">
        <is>
          <t>картошка</t>
        </is>
      </c>
      <c r="D601" s="2" t="n">
        <v>200</v>
      </c>
      <c r="E601" s="2" t="inlineStr">
        <is>
          <t>г</t>
        </is>
      </c>
      <c r="F601" s="4" t="n">
        <v>10</v>
      </c>
      <c r="G601" s="4" t="n">
        <v>2</v>
      </c>
    </row>
    <row r="602">
      <c r="A602" s="2" t="inlineStr">
        <is>
          <t>Картошка По Домашному</t>
        </is>
      </c>
      <c r="B602" s="2" t="inlineStr"/>
      <c r="C602" s="2" t="inlineStr">
        <is>
          <t>соевы</t>
        </is>
      </c>
      <c r="D602" s="2" t="n">
        <v>20</v>
      </c>
      <c r="E602" s="2" t="inlineStr">
        <is>
          <t>г</t>
        </is>
      </c>
      <c r="F602" s="4" t="n">
        <v>26</v>
      </c>
      <c r="G602" s="4" t="n">
        <v>0.52</v>
      </c>
    </row>
    <row r="603">
      <c r="A603" s="2" t="inlineStr">
        <is>
          <t>Картошка По Домашному</t>
        </is>
      </c>
      <c r="B603" s="2" t="inlineStr"/>
      <c r="C603" s="2" t="inlineStr">
        <is>
          <t>сливки</t>
        </is>
      </c>
      <c r="D603" s="2" t="n">
        <v>50</v>
      </c>
      <c r="E603" s="2" t="inlineStr">
        <is>
          <t>г</t>
        </is>
      </c>
      <c r="F603" s="4" t="n">
        <v>70</v>
      </c>
      <c r="G603" s="4" t="n">
        <v>3.5</v>
      </c>
    </row>
    <row r="604">
      <c r="A604" s="2" t="inlineStr">
        <is>
          <t>Картошка По Домашному</t>
        </is>
      </c>
      <c r="B604" s="2" t="inlineStr"/>
      <c r="C604" s="2" t="inlineStr">
        <is>
          <t>балзам</t>
        </is>
      </c>
      <c r="D604" s="2" t="n">
        <v>15</v>
      </c>
      <c r="E604" s="2" t="inlineStr">
        <is>
          <t>г</t>
        </is>
      </c>
      <c r="F604" s="4" t="n">
        <v>230</v>
      </c>
      <c r="G604" s="4" t="n">
        <v>3.45</v>
      </c>
    </row>
    <row r="605">
      <c r="A605" s="2" t="inlineStr">
        <is>
          <t>Картошка По Домашному</t>
        </is>
      </c>
      <c r="B605" s="2" t="inlineStr"/>
      <c r="C605" s="2" t="inlineStr">
        <is>
          <t>соус</t>
        </is>
      </c>
      <c r="D605" s="2" t="n">
        <v>20</v>
      </c>
      <c r="E605" s="2" t="inlineStr">
        <is>
          <t>г</t>
        </is>
      </c>
      <c r="F605" s="4" t="n">
        <v>20</v>
      </c>
      <c r="G605" s="4" t="n">
        <v>0.4</v>
      </c>
    </row>
    <row r="606">
      <c r="A606" s="2" t="inlineStr">
        <is>
          <t>Картошка По Домашному</t>
        </is>
      </c>
      <c r="B606" s="2" t="inlineStr"/>
      <c r="C606" s="2" t="inlineStr">
        <is>
          <t>пиез</t>
        </is>
      </c>
      <c r="D606" s="2" t="n">
        <v>30</v>
      </c>
      <c r="E606" s="2" t="inlineStr">
        <is>
          <t>г</t>
        </is>
      </c>
      <c r="F606" s="4" t="n">
        <v>10</v>
      </c>
      <c r="G606" s="4" t="n">
        <v>0.3</v>
      </c>
    </row>
    <row r="607">
      <c r="A607" s="2" t="inlineStr">
        <is>
          <t>Картошка По Домашному</t>
        </is>
      </c>
      <c r="B607" s="2" t="inlineStr"/>
      <c r="C607" s="2" t="inlineStr">
        <is>
          <t>грибы</t>
        </is>
      </c>
      <c r="D607" s="2" t="n">
        <v>50</v>
      </c>
      <c r="E607" s="2" t="inlineStr">
        <is>
          <t>г</t>
        </is>
      </c>
      <c r="F607" s="4" t="n">
        <v>96</v>
      </c>
      <c r="G607" s="4" t="n">
        <v>4.8</v>
      </c>
    </row>
    <row r="608">
      <c r="A608" s="2" t="inlineStr">
        <is>
          <t>Картошка По Домашному</t>
        </is>
      </c>
      <c r="B608" s="2" t="inlineStr"/>
      <c r="C608" s="2" t="inlineStr">
        <is>
          <t>вых</t>
        </is>
      </c>
      <c r="D608" s="2" t="n">
        <v>1000</v>
      </c>
      <c r="E608" s="2" t="inlineStr">
        <is>
          <t>г</t>
        </is>
      </c>
      <c r="F608" s="4" t="n">
        <v>0</v>
      </c>
      <c r="G608" s="4" t="n">
        <v>0</v>
      </c>
    </row>
    <row r="609">
      <c r="C609" s="3" t="inlineStr">
        <is>
          <t>ИТОГО</t>
        </is>
      </c>
      <c r="G609" s="8" t="n">
        <v>34.47</v>
      </c>
    </row>
    <row r="610"/>
    <row r="611">
      <c r="A611" s="3" t="inlineStr">
        <is>
          <t>Стейк Франсузкий</t>
        </is>
      </c>
      <c r="B611" s="2" t="inlineStr">
        <is>
          <t>Вторые (заказные)</t>
        </is>
      </c>
      <c r="C611" s="2" t="inlineStr">
        <is>
          <t>верзка</t>
        </is>
      </c>
      <c r="D611" s="2" t="n">
        <v>170</v>
      </c>
      <c r="E611" s="2" t="inlineStr">
        <is>
          <t>г</t>
        </is>
      </c>
      <c r="F611" s="4" t="n">
        <v>130</v>
      </c>
      <c r="G611" s="4" t="n">
        <v>22.1</v>
      </c>
    </row>
    <row r="612">
      <c r="A612" s="2" t="inlineStr">
        <is>
          <t>Стейк Франсузкий</t>
        </is>
      </c>
      <c r="B612" s="2" t="inlineStr"/>
      <c r="C612" s="2" t="inlineStr">
        <is>
          <t>картошка</t>
        </is>
      </c>
      <c r="D612" s="2" t="n">
        <v>200</v>
      </c>
      <c r="E612" s="2" t="inlineStr">
        <is>
          <t>г</t>
        </is>
      </c>
      <c r="F612" s="4" t="n">
        <v>10</v>
      </c>
      <c r="G612" s="4" t="n">
        <v>2</v>
      </c>
    </row>
    <row r="613">
      <c r="A613" s="2" t="inlineStr">
        <is>
          <t>Стейк Франсузкий</t>
        </is>
      </c>
      <c r="B613" s="2" t="inlineStr"/>
      <c r="C613" s="2" t="inlineStr">
        <is>
          <t>соевы</t>
        </is>
      </c>
      <c r="D613" s="2" t="n">
        <v>20</v>
      </c>
      <c r="E613" s="2" t="inlineStr">
        <is>
          <t>г</t>
        </is>
      </c>
      <c r="F613" s="4" t="n">
        <v>26</v>
      </c>
      <c r="G613" s="4" t="n">
        <v>0.52</v>
      </c>
    </row>
    <row r="614">
      <c r="A614" s="2" t="inlineStr">
        <is>
          <t>Стейк Франсузкий</t>
        </is>
      </c>
      <c r="B614" s="2" t="inlineStr"/>
      <c r="C614" s="2" t="inlineStr">
        <is>
          <t>микс</t>
        </is>
      </c>
      <c r="D614" s="2" t="n">
        <v>50</v>
      </c>
      <c r="E614" s="2" t="inlineStr">
        <is>
          <t>г</t>
        </is>
      </c>
      <c r="F614" s="4" t="n">
        <v>50</v>
      </c>
      <c r="G614" s="4" t="n">
        <v>2.5</v>
      </c>
    </row>
    <row r="615">
      <c r="A615" s="2" t="inlineStr">
        <is>
          <t>Стейк Франсузкий</t>
        </is>
      </c>
      <c r="B615" s="2" t="inlineStr"/>
      <c r="C615" s="2" t="inlineStr">
        <is>
          <t>балзам</t>
        </is>
      </c>
      <c r="D615" s="2" t="n">
        <v>15</v>
      </c>
      <c r="E615" s="2" t="inlineStr">
        <is>
          <t>г</t>
        </is>
      </c>
      <c r="F615" s="4" t="n">
        <v>230</v>
      </c>
      <c r="G615" s="4" t="n">
        <v>3.45</v>
      </c>
    </row>
    <row r="616">
      <c r="A616" s="2" t="inlineStr">
        <is>
          <t>Стейк Франсузкий</t>
        </is>
      </c>
      <c r="B616" s="2" t="inlineStr"/>
      <c r="C616" s="2" t="inlineStr">
        <is>
          <t>соус</t>
        </is>
      </c>
      <c r="D616" s="2" t="n">
        <v>20</v>
      </c>
      <c r="E616" s="2" t="inlineStr">
        <is>
          <t>г</t>
        </is>
      </c>
      <c r="F616" s="4" t="n">
        <v>20</v>
      </c>
      <c r="G616" s="4" t="n">
        <v>0.4</v>
      </c>
    </row>
    <row r="617">
      <c r="A617" s="2" t="inlineStr">
        <is>
          <t>Стейк Франсузкий</t>
        </is>
      </c>
      <c r="B617" s="2" t="inlineStr"/>
      <c r="C617" s="2" t="inlineStr">
        <is>
          <t>пиез</t>
        </is>
      </c>
      <c r="D617" s="2" t="n">
        <v>30</v>
      </c>
      <c r="E617" s="2" t="inlineStr">
        <is>
          <t>г</t>
        </is>
      </c>
      <c r="F617" s="4" t="n">
        <v>10</v>
      </c>
      <c r="G617" s="4" t="n">
        <v>0.3</v>
      </c>
    </row>
    <row r="618">
      <c r="A618" s="2" t="inlineStr">
        <is>
          <t>Стейк Франсузкий</t>
        </is>
      </c>
      <c r="B618" s="2" t="inlineStr"/>
      <c r="C618" s="2" t="inlineStr">
        <is>
          <t>сыр</t>
        </is>
      </c>
      <c r="D618" s="2" t="n">
        <v>20</v>
      </c>
      <c r="E618" s="2" t="inlineStr">
        <is>
          <t>г</t>
        </is>
      </c>
      <c r="F618" s="4" t="n">
        <v>70</v>
      </c>
      <c r="G618" s="4" t="n">
        <v>1.4</v>
      </c>
    </row>
    <row r="619">
      <c r="A619" s="2" t="inlineStr">
        <is>
          <t>Стейк Франсузкий</t>
        </is>
      </c>
      <c r="B619" s="2" t="inlineStr"/>
      <c r="C619" s="2" t="inlineStr">
        <is>
          <t>сарег</t>
        </is>
      </c>
      <c r="D619" s="2" t="n">
        <v>50</v>
      </c>
      <c r="E619" s="2" t="inlineStr">
        <is>
          <t>г</t>
        </is>
      </c>
      <c r="F619" s="4" t="n">
        <v>40</v>
      </c>
      <c r="G619" s="4" t="n">
        <v>2</v>
      </c>
    </row>
    <row r="620">
      <c r="A620" s="2" t="inlineStr">
        <is>
          <t>Стейк Франсузкий</t>
        </is>
      </c>
      <c r="B620" s="2" t="inlineStr"/>
      <c r="C620" s="2" t="inlineStr">
        <is>
          <t>вых</t>
        </is>
      </c>
      <c r="D620" s="2" t="n">
        <v>1000</v>
      </c>
      <c r="E620" s="2" t="inlineStr">
        <is>
          <t>г</t>
        </is>
      </c>
      <c r="F620" s="4" t="n">
        <v>0</v>
      </c>
      <c r="G620" s="4" t="n">
        <v>0</v>
      </c>
    </row>
    <row r="621">
      <c r="C621" s="3" t="inlineStr">
        <is>
          <t>ИТОГО</t>
        </is>
      </c>
      <c r="G621" s="8" t="n">
        <v>34.67</v>
      </c>
    </row>
  </sheetData>
  <dataValidations count="1">
    <dataValidation sqref="E2:E621" showDropDown="0" showInputMessage="0" showErrorMessage="0" allowBlank="1" type="list">
      <formula1>"кг,г,л,мл,шт.,порц.,уп.,бут."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16" customWidth="1" min="4" max="4"/>
    <col width="10" customWidth="1" min="5" max="5"/>
    <col width="12" customWidth="1" min="6" max="6"/>
    <col width="16" customWidth="1" min="7" max="7"/>
    <col width="10" customWidth="1" min="8" max="8"/>
  </cols>
  <sheetData>
    <row r="1">
      <c r="A1" s="1" t="inlineStr">
        <is>
          <t>№</t>
        </is>
      </c>
      <c r="B1" s="1" t="inlineStr">
        <is>
          <t>Ингредиент</t>
        </is>
      </c>
      <c r="C1" s="1" t="inlineStr">
        <is>
          <t>Ед.</t>
        </is>
      </c>
      <c r="D1" s="1" t="inlineStr">
        <is>
          <t>Цена за ед. (TJS)</t>
        </is>
      </c>
      <c r="E1" s="1" t="inlineStr">
        <is>
          <t>Отходы %</t>
        </is>
      </c>
      <c r="F1" s="1" t="inlineStr">
        <is>
          <t>Мин. остаток</t>
        </is>
      </c>
      <c r="G1" s="1" t="inlineStr">
        <is>
          <t>Категория</t>
        </is>
      </c>
      <c r="H1" s="1" t="inlineStr">
        <is>
          <t>Используется в блюдах (шт.)</t>
        </is>
      </c>
    </row>
    <row r="2">
      <c r="A2" s="2" t="n">
        <v>1</v>
      </c>
      <c r="B2" s="2" t="inlineStr">
        <is>
          <t>0.2</t>
        </is>
      </c>
      <c r="C2" s="2" t="inlineStr">
        <is>
          <t>кг</t>
        </is>
      </c>
      <c r="D2" s="4" t="n">
        <v>10</v>
      </c>
      <c r="E2" s="6" t="n">
        <v>0</v>
      </c>
      <c r="F2" s="6" t="inlineStr"/>
      <c r="G2" s="6" t="inlineStr">
        <is>
          <t>Прочее</t>
        </is>
      </c>
      <c r="H2" s="2" t="n">
        <v>1</v>
      </c>
    </row>
    <row r="3">
      <c r="A3" s="2" t="n">
        <v>2</v>
      </c>
      <c r="B3" s="2" t="inlineStr">
        <is>
          <t>0.5</t>
        </is>
      </c>
      <c r="C3" s="2" t="inlineStr">
        <is>
          <t>кг</t>
        </is>
      </c>
      <c r="D3" s="4" t="n">
        <v>2</v>
      </c>
      <c r="E3" s="6" t="n">
        <v>0</v>
      </c>
      <c r="F3" s="6" t="inlineStr"/>
      <c r="G3" s="6" t="inlineStr">
        <is>
          <t>Прочее</t>
        </is>
      </c>
      <c r="H3" s="2" t="n">
        <v>1</v>
      </c>
    </row>
    <row r="4">
      <c r="A4" s="2" t="n">
        <v>3</v>
      </c>
      <c r="B4" s="2" t="inlineStr">
        <is>
          <t>1</t>
        </is>
      </c>
      <c r="C4" s="2" t="inlineStr">
        <is>
          <t>кг</t>
        </is>
      </c>
      <c r="D4" s="4" t="n">
        <v>0.2</v>
      </c>
      <c r="E4" s="6" t="n">
        <v>0</v>
      </c>
      <c r="F4" s="6" t="inlineStr"/>
      <c r="G4" s="6" t="inlineStr">
        <is>
          <t>Прочее</t>
        </is>
      </c>
      <c r="H4" s="2" t="n">
        <v>1</v>
      </c>
    </row>
    <row r="5">
      <c r="A5" s="2" t="n">
        <v>4</v>
      </c>
      <c r="B5" s="2" t="inlineStr">
        <is>
          <t>3в1</t>
        </is>
      </c>
      <c r="C5" s="2" t="inlineStr">
        <is>
          <t>кг</t>
        </is>
      </c>
      <c r="D5" s="4" t="n">
        <v>21</v>
      </c>
      <c r="E5" s="6" t="n">
        <v>0</v>
      </c>
      <c r="F5" s="6" t="inlineStr"/>
      <c r="G5" s="6" t="inlineStr">
        <is>
          <t>Прочее</t>
        </is>
      </c>
      <c r="H5" s="2" t="n">
        <v>5</v>
      </c>
    </row>
    <row r="6">
      <c r="A6" s="2" t="n">
        <v>5</v>
      </c>
      <c r="B6" s="2" t="inlineStr">
        <is>
          <t>асал</t>
        </is>
      </c>
      <c r="C6" s="2" t="inlineStr">
        <is>
          <t>кг</t>
        </is>
      </c>
      <c r="D6" s="4" t="n">
        <v>45</v>
      </c>
      <c r="E6" s="6" t="n">
        <v>0</v>
      </c>
      <c r="F6" s="6" t="inlineStr"/>
      <c r="G6" s="6" t="inlineStr">
        <is>
          <t>Прочее</t>
        </is>
      </c>
      <c r="H6" s="2" t="n">
        <v>2</v>
      </c>
    </row>
    <row r="7">
      <c r="A7" s="2" t="n">
        <v>6</v>
      </c>
      <c r="B7" s="2" t="inlineStr">
        <is>
          <t>балгар</t>
        </is>
      </c>
      <c r="C7" s="2" t="inlineStr">
        <is>
          <t>кг</t>
        </is>
      </c>
      <c r="D7" s="4" t="n">
        <v>53.6</v>
      </c>
      <c r="E7" s="6" t="n">
        <v>0</v>
      </c>
      <c r="F7" s="6" t="inlineStr"/>
      <c r="G7" s="6" t="inlineStr">
        <is>
          <t>Овощи</t>
        </is>
      </c>
      <c r="H7" s="2" t="n">
        <v>12</v>
      </c>
    </row>
    <row r="8">
      <c r="A8" s="2" t="n">
        <v>7</v>
      </c>
      <c r="B8" s="2" t="inlineStr">
        <is>
          <t>балгар перец</t>
        </is>
      </c>
      <c r="C8" s="2" t="inlineStr">
        <is>
          <t>кг</t>
        </is>
      </c>
      <c r="D8" s="4" t="n">
        <v>53.6</v>
      </c>
      <c r="E8" s="6" t="n">
        <v>0</v>
      </c>
      <c r="F8" s="6" t="inlineStr"/>
      <c r="G8" s="6" t="inlineStr">
        <is>
          <t>Овощи</t>
        </is>
      </c>
      <c r="H8" s="2" t="n">
        <v>1</v>
      </c>
    </row>
    <row r="9">
      <c r="A9" s="2" t="n">
        <v>8</v>
      </c>
      <c r="B9" s="2" t="inlineStr">
        <is>
          <t>балзам</t>
        </is>
      </c>
      <c r="C9" s="2" t="inlineStr">
        <is>
          <t>кг</t>
        </is>
      </c>
      <c r="D9" s="4" t="n">
        <v>230</v>
      </c>
      <c r="E9" s="6" t="n">
        <v>0</v>
      </c>
      <c r="F9" s="6" t="inlineStr"/>
      <c r="G9" s="6" t="inlineStr">
        <is>
          <t>Прочее</t>
        </is>
      </c>
      <c r="H9" s="2" t="n">
        <v>4</v>
      </c>
    </row>
    <row r="10">
      <c r="A10" s="2" t="n">
        <v>9</v>
      </c>
      <c r="B10" s="2" t="inlineStr">
        <is>
          <t>балзамик</t>
        </is>
      </c>
      <c r="C10" s="2" t="inlineStr">
        <is>
          <t>кг</t>
        </is>
      </c>
      <c r="D10" s="4" t="n">
        <v>230</v>
      </c>
      <c r="E10" s="6" t="n">
        <v>0</v>
      </c>
      <c r="F10" s="6" t="inlineStr"/>
      <c r="G10" s="6" t="inlineStr">
        <is>
          <t>Прочее</t>
        </is>
      </c>
      <c r="H10" s="2" t="n">
        <v>1</v>
      </c>
    </row>
    <row r="11">
      <c r="A11" s="2" t="n">
        <v>10</v>
      </c>
      <c r="B11" s="2" t="inlineStr">
        <is>
          <t>банан</t>
        </is>
      </c>
      <c r="C11" s="2" t="inlineStr">
        <is>
          <t>кг</t>
        </is>
      </c>
      <c r="D11" s="4" t="n">
        <v>25</v>
      </c>
      <c r="E11" s="6" t="n">
        <v>0</v>
      </c>
      <c r="F11" s="6" t="inlineStr"/>
      <c r="G11" s="6" t="inlineStr">
        <is>
          <t>Прочее</t>
        </is>
      </c>
      <c r="H11" s="2" t="n">
        <v>1</v>
      </c>
    </row>
    <row r="12">
      <c r="A12" s="2" t="n">
        <v>11</v>
      </c>
      <c r="B12" s="2" t="inlineStr">
        <is>
          <t>бар ребро</t>
        </is>
      </c>
      <c r="C12" s="2" t="inlineStr">
        <is>
          <t>кг</t>
        </is>
      </c>
      <c r="D12" s="4" t="n">
        <v>300</v>
      </c>
      <c r="E12" s="6" t="n">
        <v>0</v>
      </c>
      <c r="F12" s="6" t="inlineStr"/>
      <c r="G12" s="6" t="inlineStr">
        <is>
          <t>Мясо</t>
        </is>
      </c>
      <c r="H12" s="2" t="n">
        <v>2</v>
      </c>
    </row>
    <row r="13">
      <c r="A13" s="2" t="n">
        <v>12</v>
      </c>
      <c r="B13" s="2" t="inlineStr">
        <is>
          <t>баранина ребро</t>
        </is>
      </c>
      <c r="C13" s="2" t="inlineStr">
        <is>
          <t>кг</t>
        </is>
      </c>
      <c r="D13" s="4" t="n">
        <v>105</v>
      </c>
      <c r="E13" s="6" t="n">
        <v>0</v>
      </c>
      <c r="F13" s="6" t="inlineStr"/>
      <c r="G13" s="6" t="inlineStr">
        <is>
          <t>Мясо</t>
        </is>
      </c>
      <c r="H13" s="2" t="n">
        <v>2</v>
      </c>
    </row>
    <row r="14">
      <c r="A14" s="2" t="n">
        <v>13</v>
      </c>
      <c r="B14" s="2" t="inlineStr">
        <is>
          <t>бедона</t>
        </is>
      </c>
      <c r="C14" s="2" t="inlineStr">
        <is>
          <t>кг</t>
        </is>
      </c>
      <c r="D14" s="4" t="n">
        <v>230</v>
      </c>
      <c r="E14" s="6" t="n">
        <v>0</v>
      </c>
      <c r="F14" s="6" t="inlineStr"/>
      <c r="G14" s="6" t="inlineStr">
        <is>
          <t>Мясо</t>
        </is>
      </c>
      <c r="H14" s="2" t="n">
        <v>2</v>
      </c>
    </row>
    <row r="15">
      <c r="A15" s="2" t="n">
        <v>14</v>
      </c>
      <c r="B15" s="2" t="inlineStr">
        <is>
          <t>блиник</t>
        </is>
      </c>
      <c r="C15" s="2" t="inlineStr">
        <is>
          <t>кг</t>
        </is>
      </c>
      <c r="D15" s="4" t="n">
        <v>15.73</v>
      </c>
      <c r="E15" s="6" t="n">
        <v>0</v>
      </c>
      <c r="F15" s="6" t="inlineStr"/>
      <c r="G15" s="6" t="inlineStr">
        <is>
          <t>Прочее</t>
        </is>
      </c>
      <c r="H15" s="2" t="n">
        <v>3</v>
      </c>
    </row>
    <row r="16">
      <c r="A16" s="2" t="n">
        <v>15</v>
      </c>
      <c r="B16" s="2" t="inlineStr">
        <is>
          <t>бодиринг</t>
        </is>
      </c>
      <c r="C16" s="2" t="inlineStr">
        <is>
          <t>кг</t>
        </is>
      </c>
      <c r="D16" s="4" t="n">
        <v>20</v>
      </c>
      <c r="E16" s="6" t="n">
        <v>0</v>
      </c>
      <c r="F16" s="6" t="inlineStr"/>
      <c r="G16" s="6" t="inlineStr">
        <is>
          <t>Прочее</t>
        </is>
      </c>
      <c r="H16" s="2" t="n">
        <v>1</v>
      </c>
    </row>
    <row r="17">
      <c r="A17" s="2" t="n">
        <v>16</v>
      </c>
      <c r="B17" s="2" t="inlineStr">
        <is>
          <t>буйин</t>
        </is>
      </c>
      <c r="C17" s="2" t="inlineStr">
        <is>
          <t>кг</t>
        </is>
      </c>
      <c r="D17" s="4" t="n">
        <v>105</v>
      </c>
      <c r="E17" s="6" t="n">
        <v>0</v>
      </c>
      <c r="F17" s="6" t="inlineStr"/>
      <c r="G17" s="6" t="inlineStr">
        <is>
          <t>Прочее</t>
        </is>
      </c>
      <c r="H17" s="2" t="n">
        <v>1</v>
      </c>
    </row>
    <row r="18">
      <c r="A18" s="2" t="n">
        <v>17</v>
      </c>
      <c r="B18" s="2" t="inlineStr">
        <is>
          <t>верзка</t>
        </is>
      </c>
      <c r="C18" s="2" t="inlineStr">
        <is>
          <t>кг</t>
        </is>
      </c>
      <c r="D18" s="4" t="n">
        <v>134</v>
      </c>
      <c r="E18" s="6" t="n">
        <v>0</v>
      </c>
      <c r="F18" s="6" t="inlineStr"/>
      <c r="G18" s="6" t="inlineStr">
        <is>
          <t>Прочее</t>
        </is>
      </c>
      <c r="H18" s="2" t="n">
        <v>7</v>
      </c>
    </row>
    <row r="19">
      <c r="A19" s="2" t="n">
        <v>18</v>
      </c>
      <c r="B19" s="2" t="inlineStr">
        <is>
          <t>виола</t>
        </is>
      </c>
      <c r="C19" s="2" t="inlineStr">
        <is>
          <t>кг</t>
        </is>
      </c>
      <c r="D19" s="4" t="n">
        <v>112</v>
      </c>
      <c r="E19" s="6" t="n">
        <v>0</v>
      </c>
      <c r="F19" s="6" t="inlineStr"/>
      <c r="G19" s="6" t="inlineStr">
        <is>
          <t>Прочее</t>
        </is>
      </c>
      <c r="H19" s="2" t="n">
        <v>2</v>
      </c>
    </row>
    <row r="20">
      <c r="A20" s="2" t="n">
        <v>19</v>
      </c>
      <c r="B20" s="2" t="inlineStr">
        <is>
          <t>вых</t>
        </is>
      </c>
      <c r="C20" s="2" t="inlineStr">
        <is>
          <t>кг</t>
        </is>
      </c>
      <c r="D20" s="4" t="n">
        <v>0</v>
      </c>
      <c r="E20" s="6" t="n">
        <v>0</v>
      </c>
      <c r="F20" s="6" t="inlineStr"/>
      <c r="G20" s="6" t="inlineStr">
        <is>
          <t>Прочее</t>
        </is>
      </c>
      <c r="H20" s="2" t="n">
        <v>24</v>
      </c>
    </row>
    <row r="21">
      <c r="A21" s="2" t="n">
        <v>20</v>
      </c>
      <c r="B21" s="2" t="inlineStr">
        <is>
          <t>грибы</t>
        </is>
      </c>
      <c r="C21" s="2" t="inlineStr">
        <is>
          <t>кг</t>
        </is>
      </c>
      <c r="D21" s="4" t="n">
        <v>96</v>
      </c>
      <c r="E21" s="6" t="n">
        <v>0</v>
      </c>
      <c r="F21" s="6" t="inlineStr"/>
      <c r="G21" s="6" t="inlineStr">
        <is>
          <t>Прочее</t>
        </is>
      </c>
      <c r="H21" s="2" t="n">
        <v>4</v>
      </c>
    </row>
    <row r="22">
      <c r="A22" s="2" t="n">
        <v>21</v>
      </c>
      <c r="B22" s="2" t="inlineStr">
        <is>
          <t>гурунч</t>
        </is>
      </c>
      <c r="C22" s="2" t="inlineStr">
        <is>
          <t>кг</t>
        </is>
      </c>
      <c r="D22" s="4" t="n">
        <v>25</v>
      </c>
      <c r="E22" s="6" t="n">
        <v>0</v>
      </c>
      <c r="F22" s="6" t="inlineStr"/>
      <c r="G22" s="6" t="inlineStr">
        <is>
          <t>Крупы</t>
        </is>
      </c>
      <c r="H22" s="2" t="n">
        <v>5</v>
      </c>
    </row>
    <row r="23">
      <c r="A23" s="2" t="n">
        <v>22</v>
      </c>
      <c r="B23" s="2" t="inlineStr">
        <is>
          <t>дандона</t>
        </is>
      </c>
      <c r="C23" s="2" t="inlineStr">
        <is>
          <t>кг</t>
        </is>
      </c>
      <c r="D23" s="4" t="n">
        <v>125</v>
      </c>
      <c r="E23" s="6" t="n">
        <v>0</v>
      </c>
      <c r="F23" s="6" t="inlineStr"/>
      <c r="G23" s="6" t="inlineStr">
        <is>
          <t>Прочее</t>
        </is>
      </c>
      <c r="H23" s="2" t="n">
        <v>1</v>
      </c>
    </row>
    <row r="24">
      <c r="A24" s="2" t="n">
        <v>23</v>
      </c>
      <c r="B24" s="2" t="inlineStr">
        <is>
          <t>дрож</t>
        </is>
      </c>
      <c r="C24" s="2" t="inlineStr">
        <is>
          <t>кг</t>
        </is>
      </c>
      <c r="D24" s="4" t="n">
        <v>17</v>
      </c>
      <c r="E24" s="6" t="n">
        <v>0</v>
      </c>
      <c r="F24" s="6" t="inlineStr"/>
      <c r="G24" s="6" t="inlineStr">
        <is>
          <t>Мука и тесто</t>
        </is>
      </c>
      <c r="H24" s="2" t="n">
        <v>1</v>
      </c>
    </row>
    <row r="25">
      <c r="A25" s="2" t="n">
        <v>24</v>
      </c>
      <c r="B25" s="2" t="inlineStr">
        <is>
          <t>дум</t>
        </is>
      </c>
      <c r="C25" s="2" t="inlineStr">
        <is>
          <t>кг</t>
        </is>
      </c>
      <c r="D25" s="4" t="n">
        <v>200</v>
      </c>
      <c r="E25" s="6" t="n">
        <v>0</v>
      </c>
      <c r="F25" s="6" t="inlineStr"/>
      <c r="G25" s="6" t="inlineStr">
        <is>
          <t>Мясо</t>
        </is>
      </c>
      <c r="H25" s="2" t="n">
        <v>2</v>
      </c>
    </row>
    <row r="26">
      <c r="A26" s="2" t="n">
        <v>25</v>
      </c>
      <c r="B26" s="2" t="inlineStr">
        <is>
          <t>думба</t>
        </is>
      </c>
      <c r="C26" s="2" t="inlineStr">
        <is>
          <t>кг</t>
        </is>
      </c>
      <c r="D26" s="4" t="n">
        <v>105</v>
      </c>
      <c r="E26" s="6" t="n">
        <v>0</v>
      </c>
      <c r="F26" s="6" t="inlineStr"/>
      <c r="G26" s="6" t="inlineStr">
        <is>
          <t>Мясо</t>
        </is>
      </c>
      <c r="H26" s="2" t="n">
        <v>10</v>
      </c>
    </row>
    <row r="27">
      <c r="A27" s="2" t="n">
        <v>26</v>
      </c>
      <c r="B27" s="2" t="inlineStr">
        <is>
          <t>ег</t>
        </is>
      </c>
      <c r="C27" s="2" t="inlineStr">
        <is>
          <t>кг</t>
        </is>
      </c>
      <c r="D27" s="4" t="n">
        <v>19</v>
      </c>
      <c r="E27" s="6" t="n">
        <v>0</v>
      </c>
      <c r="F27" s="6" t="inlineStr"/>
      <c r="G27" s="6" t="inlineStr">
        <is>
          <t>Масла и жиры</t>
        </is>
      </c>
      <c r="H27" s="2" t="n">
        <v>20</v>
      </c>
    </row>
    <row r="28">
      <c r="A28" s="2" t="n">
        <v>27</v>
      </c>
      <c r="B28" s="2" t="inlineStr">
        <is>
          <t>жавари</t>
        </is>
      </c>
      <c r="C28" s="2" t="inlineStr">
        <is>
          <t>кг</t>
        </is>
      </c>
      <c r="D28" s="4" t="n">
        <v>15</v>
      </c>
      <c r="E28" s="6" t="n">
        <v>0</v>
      </c>
      <c r="F28" s="6" t="inlineStr"/>
      <c r="G28" s="6" t="inlineStr">
        <is>
          <t>Крупы</t>
        </is>
      </c>
      <c r="H28" s="2" t="n">
        <v>1</v>
      </c>
    </row>
    <row r="29">
      <c r="A29" s="2" t="n">
        <v>28</v>
      </c>
      <c r="B29" s="2" t="inlineStr">
        <is>
          <t>жидкый дым</t>
        </is>
      </c>
      <c r="C29" s="2" t="inlineStr">
        <is>
          <t>кг</t>
        </is>
      </c>
      <c r="D29" s="4" t="n">
        <v>20</v>
      </c>
      <c r="E29" s="6" t="n">
        <v>0</v>
      </c>
      <c r="F29" s="6" t="inlineStr"/>
      <c r="G29" s="6" t="inlineStr">
        <is>
          <t>Прочее</t>
        </is>
      </c>
      <c r="H29" s="2" t="n">
        <v>1</v>
      </c>
    </row>
    <row r="30">
      <c r="A30" s="2" t="n">
        <v>29</v>
      </c>
      <c r="B30" s="2" t="inlineStr">
        <is>
          <t>жужа байзо</t>
        </is>
      </c>
      <c r="C30" s="2" t="inlineStr">
        <is>
          <t>кг</t>
        </is>
      </c>
      <c r="D30" s="4" t="n">
        <v>37</v>
      </c>
      <c r="E30" s="6" t="n">
        <v>0</v>
      </c>
      <c r="F30" s="6" t="inlineStr"/>
      <c r="G30" s="6" t="inlineStr">
        <is>
          <t>Прочее</t>
        </is>
      </c>
      <c r="H30" s="2" t="n">
        <v>1</v>
      </c>
    </row>
    <row r="31">
      <c r="A31" s="2" t="n">
        <v>30</v>
      </c>
      <c r="B31" s="2" t="inlineStr">
        <is>
          <t>забон гусф</t>
        </is>
      </c>
      <c r="C31" s="2" t="inlineStr">
        <is>
          <t>кг</t>
        </is>
      </c>
      <c r="D31" s="4" t="n">
        <v>108</v>
      </c>
      <c r="E31" s="6" t="n">
        <v>0</v>
      </c>
      <c r="F31" s="6" t="inlineStr"/>
      <c r="G31" s="6" t="inlineStr">
        <is>
          <t>Мясо</t>
        </is>
      </c>
      <c r="H31" s="2" t="n">
        <v>1</v>
      </c>
    </row>
    <row r="32">
      <c r="A32" s="2" t="n">
        <v>31</v>
      </c>
      <c r="B32" s="2" t="inlineStr">
        <is>
          <t>зелен</t>
        </is>
      </c>
      <c r="C32" s="2" t="inlineStr">
        <is>
          <t>кг</t>
        </is>
      </c>
      <c r="D32" s="4" t="n">
        <v>50</v>
      </c>
      <c r="E32" s="6" t="n">
        <v>0</v>
      </c>
      <c r="F32" s="6" t="inlineStr"/>
      <c r="G32" s="6" t="inlineStr">
        <is>
          <t>Овощи</t>
        </is>
      </c>
      <c r="H32" s="2" t="n">
        <v>6</v>
      </c>
    </row>
    <row r="33">
      <c r="A33" s="2" t="n">
        <v>32</v>
      </c>
      <c r="B33" s="2" t="inlineStr">
        <is>
          <t>зеленый горошек</t>
        </is>
      </c>
      <c r="C33" s="2" t="inlineStr">
        <is>
          <t>кг</t>
        </is>
      </c>
      <c r="D33" s="4" t="n">
        <v>50</v>
      </c>
      <c r="E33" s="6" t="n">
        <v>0</v>
      </c>
      <c r="F33" s="6" t="inlineStr"/>
      <c r="G33" s="6" t="inlineStr">
        <is>
          <t>Овощи</t>
        </is>
      </c>
      <c r="H33" s="2" t="n">
        <v>1</v>
      </c>
    </row>
    <row r="34">
      <c r="A34" s="2" t="n">
        <v>33</v>
      </c>
      <c r="B34" s="2" t="inlineStr">
        <is>
          <t>зелень</t>
        </is>
      </c>
      <c r="C34" s="2" t="inlineStr">
        <is>
          <t>кг</t>
        </is>
      </c>
      <c r="D34" s="4" t="n">
        <v>50</v>
      </c>
      <c r="E34" s="6" t="n">
        <v>0</v>
      </c>
      <c r="F34" s="6" t="inlineStr"/>
      <c r="G34" s="6" t="inlineStr">
        <is>
          <t>Овощи</t>
        </is>
      </c>
      <c r="H34" s="2" t="n">
        <v>6</v>
      </c>
    </row>
    <row r="35">
      <c r="A35" s="2" t="n">
        <v>34</v>
      </c>
      <c r="B35" s="2" t="inlineStr">
        <is>
          <t>зигр</t>
        </is>
      </c>
      <c r="C35" s="2" t="inlineStr">
        <is>
          <t>кг</t>
        </is>
      </c>
      <c r="D35" s="4" t="n">
        <v>30</v>
      </c>
      <c r="E35" s="6" t="n">
        <v>0</v>
      </c>
      <c r="F35" s="6" t="inlineStr"/>
      <c r="G35" s="6" t="inlineStr">
        <is>
          <t>Прочее</t>
        </is>
      </c>
      <c r="H35" s="2" t="n">
        <v>1</v>
      </c>
    </row>
    <row r="36">
      <c r="A36" s="2" t="n">
        <v>35</v>
      </c>
      <c r="B36" s="2" t="inlineStr">
        <is>
          <t>зира</t>
        </is>
      </c>
      <c r="C36" s="2" t="inlineStr">
        <is>
          <t>кг</t>
        </is>
      </c>
      <c r="D36" s="4" t="n">
        <v>100</v>
      </c>
      <c r="E36" s="6" t="n">
        <v>0</v>
      </c>
      <c r="F36" s="6" t="inlineStr"/>
      <c r="G36" s="6" t="inlineStr">
        <is>
          <t>Специи и приправы</t>
        </is>
      </c>
      <c r="H36" s="2" t="n">
        <v>7</v>
      </c>
    </row>
    <row r="37">
      <c r="A37" s="2" t="n">
        <v>36</v>
      </c>
      <c r="B37" s="2" t="inlineStr">
        <is>
          <t>илик</t>
        </is>
      </c>
      <c r="C37" s="2" t="inlineStr">
        <is>
          <t>кг</t>
        </is>
      </c>
      <c r="D37" s="4" t="n">
        <v>200</v>
      </c>
      <c r="E37" s="6" t="n">
        <v>0</v>
      </c>
      <c r="F37" s="6" t="inlineStr"/>
      <c r="G37" s="6" t="inlineStr">
        <is>
          <t>Мясо</t>
        </is>
      </c>
      <c r="H37" s="2" t="n">
        <v>1</v>
      </c>
    </row>
    <row r="38">
      <c r="A38" s="2" t="n">
        <v>37</v>
      </c>
      <c r="B38" s="2" t="inlineStr">
        <is>
          <t>илик барра</t>
        </is>
      </c>
      <c r="C38" s="2" t="inlineStr">
        <is>
          <t>кг</t>
        </is>
      </c>
      <c r="D38" s="4" t="n">
        <v>105</v>
      </c>
      <c r="E38" s="6" t="n">
        <v>0</v>
      </c>
      <c r="F38" s="6" t="inlineStr"/>
      <c r="G38" s="6" t="inlineStr">
        <is>
          <t>Мясо</t>
        </is>
      </c>
      <c r="H38" s="2" t="n">
        <v>1</v>
      </c>
    </row>
    <row r="39">
      <c r="A39" s="2" t="n">
        <v>38</v>
      </c>
      <c r="B39" s="2" t="inlineStr">
        <is>
          <t>кабачки</t>
        </is>
      </c>
      <c r="C39" s="2" t="inlineStr">
        <is>
          <t>кг</t>
        </is>
      </c>
      <c r="D39" s="4" t="n">
        <v>35</v>
      </c>
      <c r="E39" s="6" t="n">
        <v>0</v>
      </c>
      <c r="F39" s="6" t="inlineStr"/>
      <c r="G39" s="6" t="inlineStr">
        <is>
          <t>Прочее</t>
        </is>
      </c>
      <c r="H39" s="2" t="n">
        <v>1</v>
      </c>
    </row>
    <row r="40">
      <c r="A40" s="2" t="n">
        <v>39</v>
      </c>
      <c r="B40" s="2" t="inlineStr">
        <is>
          <t>кавурдок</t>
        </is>
      </c>
      <c r="C40" s="2" t="inlineStr">
        <is>
          <t>кг</t>
        </is>
      </c>
      <c r="D40" s="4" t="n">
        <v>300</v>
      </c>
      <c r="E40" s="6" t="n">
        <v>0</v>
      </c>
      <c r="F40" s="6" t="inlineStr"/>
      <c r="G40" s="6" t="inlineStr">
        <is>
          <t>Прочее</t>
        </is>
      </c>
      <c r="H40" s="2" t="n">
        <v>1</v>
      </c>
    </row>
    <row r="41">
      <c r="A41" s="2" t="n">
        <v>40</v>
      </c>
      <c r="B41" s="2" t="inlineStr">
        <is>
          <t>кази</t>
        </is>
      </c>
      <c r="C41" s="2" t="inlineStr">
        <is>
          <t>кг</t>
        </is>
      </c>
      <c r="D41" s="4" t="n">
        <v>200</v>
      </c>
      <c r="E41" s="6" t="n">
        <v>0</v>
      </c>
      <c r="F41" s="6" t="inlineStr"/>
      <c r="G41" s="6" t="inlineStr">
        <is>
          <t>Прочее</t>
        </is>
      </c>
      <c r="H41" s="2" t="n">
        <v>2</v>
      </c>
    </row>
    <row r="42">
      <c r="A42" s="2" t="n">
        <v>41</v>
      </c>
      <c r="B42" s="2" t="inlineStr">
        <is>
          <t>кази от</t>
        </is>
      </c>
      <c r="C42" s="2" t="inlineStr">
        <is>
          <t>кг</t>
        </is>
      </c>
      <c r="D42" s="4" t="n">
        <v>200</v>
      </c>
      <c r="E42" s="6" t="n">
        <v>0</v>
      </c>
      <c r="F42" s="6" t="inlineStr"/>
      <c r="G42" s="6" t="inlineStr">
        <is>
          <t>Прочее</t>
        </is>
      </c>
      <c r="H42" s="2" t="n">
        <v>1</v>
      </c>
    </row>
    <row r="43">
      <c r="A43" s="2" t="n">
        <v>42</v>
      </c>
      <c r="B43" s="2" t="inlineStr">
        <is>
          <t>кайла</t>
        </is>
      </c>
      <c r="C43" s="2" t="inlineStr">
        <is>
          <t>кг</t>
        </is>
      </c>
      <c r="D43" s="4" t="n">
        <v>100</v>
      </c>
      <c r="E43" s="6" t="n">
        <v>0</v>
      </c>
      <c r="F43" s="6" t="inlineStr"/>
      <c r="G43" s="6" t="inlineStr">
        <is>
          <t>Прочее</t>
        </is>
      </c>
      <c r="H43" s="2" t="n">
        <v>1</v>
      </c>
    </row>
    <row r="44">
      <c r="A44" s="2" t="n">
        <v>43</v>
      </c>
      <c r="B44" s="2" t="inlineStr">
        <is>
          <t>каймак творог</t>
        </is>
      </c>
      <c r="C44" s="2" t="inlineStr">
        <is>
          <t>кг</t>
        </is>
      </c>
      <c r="D44" s="4" t="n">
        <v>45</v>
      </c>
      <c r="E44" s="6" t="n">
        <v>0</v>
      </c>
      <c r="F44" s="6" t="inlineStr"/>
      <c r="G44" s="6" t="inlineStr">
        <is>
          <t>Молочные</t>
        </is>
      </c>
      <c r="H44" s="2" t="n">
        <v>2</v>
      </c>
    </row>
    <row r="45">
      <c r="A45" s="2" t="n">
        <v>44</v>
      </c>
      <c r="B45" s="2" t="inlineStr">
        <is>
          <t>калампир</t>
        </is>
      </c>
      <c r="C45" s="2" t="inlineStr">
        <is>
          <t>кг</t>
        </is>
      </c>
      <c r="D45" s="4" t="n">
        <v>100</v>
      </c>
      <c r="E45" s="6" t="n">
        <v>0</v>
      </c>
      <c r="F45" s="6" t="inlineStr"/>
      <c r="G45" s="6" t="inlineStr">
        <is>
          <t>Прочее</t>
        </is>
      </c>
      <c r="H45" s="2" t="n">
        <v>3</v>
      </c>
    </row>
    <row r="46">
      <c r="A46" s="2" t="n">
        <v>45</v>
      </c>
      <c r="B46" s="2" t="inlineStr">
        <is>
          <t>карокот</t>
        </is>
      </c>
      <c r="C46" s="2" t="inlineStr">
        <is>
          <t>кг</t>
        </is>
      </c>
      <c r="D46" s="4" t="n">
        <v>100</v>
      </c>
      <c r="E46" s="6" t="n">
        <v>0</v>
      </c>
      <c r="F46" s="6" t="inlineStr"/>
      <c r="G46" s="6" t="inlineStr">
        <is>
          <t>Прочее</t>
        </is>
      </c>
      <c r="H46" s="2" t="n">
        <v>1</v>
      </c>
    </row>
    <row r="47">
      <c r="A47" s="2" t="n">
        <v>46</v>
      </c>
      <c r="B47" s="2" t="inlineStr">
        <is>
          <t>картошка</t>
        </is>
      </c>
      <c r="C47" s="2" t="inlineStr">
        <is>
          <t>кг</t>
        </is>
      </c>
      <c r="D47" s="4" t="n">
        <v>10</v>
      </c>
      <c r="E47" s="6" t="n">
        <v>0</v>
      </c>
      <c r="F47" s="6" t="inlineStr"/>
      <c r="G47" s="6" t="inlineStr">
        <is>
          <t>Овощи</t>
        </is>
      </c>
      <c r="H47" s="2" t="n">
        <v>18</v>
      </c>
    </row>
    <row r="48">
      <c r="A48" s="2" t="n">
        <v>47</v>
      </c>
      <c r="B48" s="2" t="inlineStr">
        <is>
          <t>картошка фри</t>
        </is>
      </c>
      <c r="C48" s="2" t="inlineStr">
        <is>
          <t>кг</t>
        </is>
      </c>
      <c r="D48" s="4" t="n">
        <v>20</v>
      </c>
      <c r="E48" s="6" t="n">
        <v>0</v>
      </c>
      <c r="F48" s="6" t="inlineStr"/>
      <c r="G48" s="6" t="inlineStr">
        <is>
          <t>Овощи</t>
        </is>
      </c>
      <c r="H48" s="2" t="n">
        <v>2</v>
      </c>
    </row>
    <row r="49">
      <c r="A49" s="2" t="n">
        <v>48</v>
      </c>
      <c r="B49" s="2" t="inlineStr">
        <is>
          <t>катик</t>
        </is>
      </c>
      <c r="C49" s="2" t="inlineStr">
        <is>
          <t>л</t>
        </is>
      </c>
      <c r="D49" s="4" t="n">
        <v>10</v>
      </c>
      <c r="E49" s="6" t="n">
        <v>0</v>
      </c>
      <c r="F49" s="6" t="inlineStr"/>
      <c r="G49" s="6" t="inlineStr">
        <is>
          <t>Молочные</t>
        </is>
      </c>
      <c r="H49" s="2" t="n">
        <v>6</v>
      </c>
    </row>
    <row r="50">
      <c r="A50" s="2" t="n">
        <v>49</v>
      </c>
      <c r="B50" s="2" t="inlineStr">
        <is>
          <t>кашнич</t>
        </is>
      </c>
      <c r="C50" s="2" t="inlineStr">
        <is>
          <t>кг</t>
        </is>
      </c>
      <c r="D50" s="4" t="n">
        <v>50</v>
      </c>
      <c r="E50" s="6" t="n">
        <v>0</v>
      </c>
      <c r="F50" s="6" t="inlineStr"/>
      <c r="G50" s="6" t="inlineStr">
        <is>
          <t>Специи и приправы</t>
        </is>
      </c>
      <c r="H50" s="2" t="n">
        <v>7</v>
      </c>
    </row>
    <row r="51">
      <c r="A51" s="2" t="n">
        <v>50</v>
      </c>
      <c r="B51" s="2" t="inlineStr">
        <is>
          <t>киви</t>
        </is>
      </c>
      <c r="C51" s="2" t="inlineStr">
        <is>
          <t>кг</t>
        </is>
      </c>
      <c r="D51" s="4" t="n">
        <v>30</v>
      </c>
      <c r="E51" s="6" t="n">
        <v>0</v>
      </c>
      <c r="F51" s="6" t="inlineStr"/>
      <c r="G51" s="6" t="inlineStr">
        <is>
          <t>Прочее</t>
        </is>
      </c>
      <c r="H51" s="2" t="n">
        <v>4</v>
      </c>
    </row>
    <row r="52">
      <c r="A52" s="2" t="n">
        <v>51</v>
      </c>
      <c r="B52" s="2" t="inlineStr">
        <is>
          <t>костичка</t>
        </is>
      </c>
      <c r="C52" s="2" t="inlineStr">
        <is>
          <t>кг</t>
        </is>
      </c>
      <c r="D52" s="4" t="n">
        <v>100</v>
      </c>
      <c r="E52" s="6" t="n">
        <v>0</v>
      </c>
      <c r="F52" s="6" t="inlineStr"/>
      <c r="G52" s="6" t="inlineStr">
        <is>
          <t>Мясо</t>
        </is>
      </c>
      <c r="H52" s="2" t="n">
        <v>1</v>
      </c>
    </row>
    <row r="53">
      <c r="A53" s="2" t="n">
        <v>52</v>
      </c>
      <c r="B53" s="2" t="inlineStr">
        <is>
          <t>криля</t>
        </is>
      </c>
      <c r="C53" s="2" t="inlineStr">
        <is>
          <t>кг</t>
        </is>
      </c>
      <c r="D53" s="4" t="n">
        <v>37.5</v>
      </c>
      <c r="E53" s="6" t="n">
        <v>0</v>
      </c>
      <c r="F53" s="6" t="inlineStr"/>
      <c r="G53" s="6" t="inlineStr">
        <is>
          <t>Птица</t>
        </is>
      </c>
      <c r="H53" s="2" t="n">
        <v>1</v>
      </c>
    </row>
    <row r="54">
      <c r="A54" s="2" t="n">
        <v>53</v>
      </c>
      <c r="B54" s="2" t="inlineStr">
        <is>
          <t>кукуруз</t>
        </is>
      </c>
      <c r="C54" s="2" t="inlineStr">
        <is>
          <t>кг</t>
        </is>
      </c>
      <c r="D54" s="4" t="n">
        <v>50</v>
      </c>
      <c r="E54" s="6" t="n">
        <v>0</v>
      </c>
      <c r="F54" s="6" t="inlineStr"/>
      <c r="G54" s="6" t="inlineStr">
        <is>
          <t>Птица</t>
        </is>
      </c>
      <c r="H54" s="2" t="n">
        <v>1</v>
      </c>
    </row>
    <row r="55">
      <c r="A55" s="2" t="n">
        <v>54</v>
      </c>
      <c r="B55" s="2" t="inlineStr">
        <is>
          <t>кунчут</t>
        </is>
      </c>
      <c r="C55" s="2" t="inlineStr">
        <is>
          <t>кг</t>
        </is>
      </c>
      <c r="D55" s="4" t="n">
        <v>20</v>
      </c>
      <c r="E55" s="6" t="n">
        <v>0</v>
      </c>
      <c r="F55" s="6" t="inlineStr"/>
      <c r="G55" s="6" t="inlineStr">
        <is>
          <t>Мука и тесто</t>
        </is>
      </c>
      <c r="H55" s="2" t="n">
        <v>1</v>
      </c>
    </row>
    <row r="56">
      <c r="A56" s="2" t="n">
        <v>55</v>
      </c>
      <c r="B56" s="2" t="inlineStr">
        <is>
          <t>кур грудка</t>
        </is>
      </c>
      <c r="C56" s="2" t="inlineStr">
        <is>
          <t>кг</t>
        </is>
      </c>
      <c r="D56" s="4" t="n">
        <v>40</v>
      </c>
      <c r="E56" s="6" t="n">
        <v>0</v>
      </c>
      <c r="F56" s="6" t="inlineStr"/>
      <c r="G56" s="6" t="inlineStr">
        <is>
          <t>Птица</t>
        </is>
      </c>
      <c r="H56" s="2" t="n">
        <v>1</v>
      </c>
    </row>
    <row r="57">
      <c r="A57" s="2" t="n">
        <v>56</v>
      </c>
      <c r="B57" s="2" t="inlineStr">
        <is>
          <t>кур гур</t>
        </is>
      </c>
      <c r="C57" s="2" t="inlineStr">
        <is>
          <t>кг</t>
        </is>
      </c>
      <c r="D57" s="4" t="n">
        <v>40</v>
      </c>
      <c r="E57" s="6" t="n">
        <v>0</v>
      </c>
      <c r="F57" s="6" t="inlineStr"/>
      <c r="G57" s="6" t="inlineStr">
        <is>
          <t>Птица</t>
        </is>
      </c>
      <c r="H57" s="2" t="n">
        <v>1</v>
      </c>
    </row>
    <row r="58">
      <c r="A58" s="2" t="n">
        <v>57</v>
      </c>
      <c r="B58" s="2" t="inlineStr">
        <is>
          <t>курпа</t>
        </is>
      </c>
      <c r="C58" s="2" t="inlineStr">
        <is>
          <t>кг</t>
        </is>
      </c>
      <c r="D58" s="4" t="n">
        <v>20</v>
      </c>
      <c r="E58" s="6" t="n">
        <v>0</v>
      </c>
      <c r="F58" s="6" t="inlineStr"/>
      <c r="G58" s="6" t="inlineStr">
        <is>
          <t>Птица</t>
        </is>
      </c>
      <c r="H58" s="2" t="n">
        <v>1</v>
      </c>
    </row>
    <row r="59">
      <c r="A59" s="2" t="n">
        <v>58</v>
      </c>
      <c r="B59" s="2" t="inlineStr">
        <is>
          <t>лаваш</t>
        </is>
      </c>
      <c r="C59" s="2" t="inlineStr">
        <is>
          <t>кг</t>
        </is>
      </c>
      <c r="D59" s="4" t="n">
        <v>1.2</v>
      </c>
      <c r="E59" s="6" t="n">
        <v>0</v>
      </c>
      <c r="F59" s="6" t="inlineStr"/>
      <c r="G59" s="6" t="inlineStr">
        <is>
          <t>Прочее</t>
        </is>
      </c>
      <c r="H59" s="2" t="n">
        <v>1</v>
      </c>
    </row>
    <row r="60">
      <c r="A60" s="2" t="n">
        <v>59</v>
      </c>
      <c r="B60" s="2" t="inlineStr">
        <is>
          <t>лаврушка</t>
        </is>
      </c>
      <c r="C60" s="2" t="inlineStr">
        <is>
          <t>шт.</t>
        </is>
      </c>
      <c r="D60" s="4" t="n">
        <v>20</v>
      </c>
      <c r="E60" s="6" t="n">
        <v>0</v>
      </c>
      <c r="F60" s="6" t="inlineStr"/>
      <c r="G60" s="6" t="inlineStr">
        <is>
          <t>Специи и приправы</t>
        </is>
      </c>
      <c r="H60" s="2" t="n">
        <v>10</v>
      </c>
    </row>
    <row r="61">
      <c r="A61" s="2" t="n">
        <v>60</v>
      </c>
      <c r="B61" s="2" t="inlineStr">
        <is>
          <t>лапша</t>
        </is>
      </c>
      <c r="C61" s="2" t="inlineStr">
        <is>
          <t>кг</t>
        </is>
      </c>
      <c r="D61" s="4" t="n">
        <v>22</v>
      </c>
      <c r="E61" s="6" t="n">
        <v>0</v>
      </c>
      <c r="F61" s="6" t="inlineStr"/>
      <c r="G61" s="6" t="inlineStr">
        <is>
          <t>Мука и тесто</t>
        </is>
      </c>
      <c r="H61" s="2" t="n">
        <v>3</v>
      </c>
    </row>
    <row r="62">
      <c r="A62" s="2" t="n">
        <v>61</v>
      </c>
      <c r="B62" s="2" t="inlineStr">
        <is>
          <t>лахм</t>
        </is>
      </c>
      <c r="C62" s="2" t="inlineStr">
        <is>
          <t>кг</t>
        </is>
      </c>
      <c r="D62" s="4" t="n">
        <v>120</v>
      </c>
      <c r="E62" s="6" t="n">
        <v>0</v>
      </c>
      <c r="F62" s="6" t="inlineStr"/>
      <c r="G62" s="6" t="inlineStr">
        <is>
          <t>Мясо</t>
        </is>
      </c>
      <c r="H62" s="2" t="n">
        <v>3</v>
      </c>
    </row>
    <row r="63">
      <c r="A63" s="2" t="n">
        <v>62</v>
      </c>
      <c r="B63" s="2" t="inlineStr">
        <is>
          <t>лимон</t>
        </is>
      </c>
      <c r="C63" s="2" t="inlineStr">
        <is>
          <t>кг</t>
        </is>
      </c>
      <c r="D63" s="4" t="n">
        <v>40</v>
      </c>
      <c r="E63" s="6" t="n">
        <v>0</v>
      </c>
      <c r="F63" s="6" t="inlineStr"/>
      <c r="G63" s="6" t="inlineStr">
        <is>
          <t>Прочее</t>
        </is>
      </c>
      <c r="H63" s="2" t="n">
        <v>1</v>
      </c>
    </row>
    <row r="64">
      <c r="A64" s="2" t="n">
        <v>63</v>
      </c>
      <c r="B64" s="2" t="inlineStr">
        <is>
          <t>любе</t>
        </is>
      </c>
      <c r="C64" s="2" t="inlineStr">
        <is>
          <t>кг</t>
        </is>
      </c>
      <c r="D64" s="4" t="n">
        <v>15</v>
      </c>
      <c r="E64" s="6" t="n">
        <v>0</v>
      </c>
      <c r="F64" s="6" t="inlineStr"/>
      <c r="G64" s="6" t="inlineStr">
        <is>
          <t>Прочее</t>
        </is>
      </c>
      <c r="H64" s="2" t="n">
        <v>1</v>
      </c>
    </row>
    <row r="65">
      <c r="A65" s="2" t="n">
        <v>64</v>
      </c>
      <c r="B65" s="2" t="inlineStr">
        <is>
          <t>маез</t>
        </is>
      </c>
      <c r="C65" s="2" t="inlineStr">
        <is>
          <t>кг</t>
        </is>
      </c>
      <c r="D65" s="4" t="n">
        <v>25</v>
      </c>
      <c r="E65" s="6" t="n">
        <v>0</v>
      </c>
      <c r="F65" s="6" t="inlineStr"/>
      <c r="G65" s="6" t="inlineStr">
        <is>
          <t>Прочее</t>
        </is>
      </c>
      <c r="H65" s="2" t="n">
        <v>1</v>
      </c>
    </row>
    <row r="66">
      <c r="A66" s="2" t="n">
        <v>65</v>
      </c>
      <c r="B66" s="2" t="inlineStr">
        <is>
          <t>маенез</t>
        </is>
      </c>
      <c r="C66" s="2" t="inlineStr">
        <is>
          <t>кг</t>
        </is>
      </c>
      <c r="D66" s="4" t="n">
        <v>20.5</v>
      </c>
      <c r="E66" s="6" t="n">
        <v>0</v>
      </c>
      <c r="F66" s="6" t="inlineStr"/>
      <c r="G66" s="6" t="inlineStr">
        <is>
          <t>Соусы</t>
        </is>
      </c>
      <c r="H66" s="2" t="n">
        <v>3</v>
      </c>
    </row>
    <row r="67">
      <c r="A67" s="2" t="n">
        <v>66</v>
      </c>
      <c r="B67" s="2" t="inlineStr">
        <is>
          <t>масло</t>
        </is>
      </c>
      <c r="C67" s="2" t="inlineStr">
        <is>
          <t>л</t>
        </is>
      </c>
      <c r="D67" s="4" t="n">
        <v>0</v>
      </c>
      <c r="E67" s="6" t="n">
        <v>0</v>
      </c>
      <c r="F67" s="6" t="inlineStr"/>
      <c r="G67" s="6" t="inlineStr">
        <is>
          <t>Масла и жиры</t>
        </is>
      </c>
      <c r="H67" s="2" t="n">
        <v>1</v>
      </c>
    </row>
    <row r="68">
      <c r="A68" s="2" t="n">
        <v>67</v>
      </c>
      <c r="B68" s="2" t="inlineStr">
        <is>
          <t>мениралка</t>
        </is>
      </c>
      <c r="C68" s="2" t="inlineStr">
        <is>
          <t>кг</t>
        </is>
      </c>
      <c r="D68" s="4" t="n">
        <v>5</v>
      </c>
      <c r="E68" s="6" t="n">
        <v>0</v>
      </c>
      <c r="F68" s="6" t="inlineStr"/>
      <c r="G68" s="6" t="inlineStr">
        <is>
          <t>Прочее</t>
        </is>
      </c>
      <c r="H68" s="2" t="n">
        <v>4</v>
      </c>
    </row>
    <row r="69">
      <c r="A69" s="2" t="n">
        <v>68</v>
      </c>
      <c r="B69" s="2" t="inlineStr">
        <is>
          <t>микс</t>
        </is>
      </c>
      <c r="C69" s="2" t="inlineStr">
        <is>
          <t>кг</t>
        </is>
      </c>
      <c r="D69" s="4" t="n">
        <v>50</v>
      </c>
      <c r="E69" s="6" t="n">
        <v>0</v>
      </c>
      <c r="F69" s="6" t="inlineStr"/>
      <c r="G69" s="6" t="inlineStr">
        <is>
          <t>Прочее</t>
        </is>
      </c>
      <c r="H69" s="2" t="n">
        <v>3</v>
      </c>
    </row>
    <row r="70">
      <c r="A70" s="2" t="n">
        <v>69</v>
      </c>
      <c r="B70" s="2" t="inlineStr">
        <is>
          <t>микс зелен</t>
        </is>
      </c>
      <c r="C70" s="2" t="inlineStr">
        <is>
          <t>кг</t>
        </is>
      </c>
      <c r="D70" s="4" t="n">
        <v>50</v>
      </c>
      <c r="E70" s="6" t="n">
        <v>0</v>
      </c>
      <c r="F70" s="6" t="inlineStr"/>
      <c r="G70" s="6" t="inlineStr">
        <is>
          <t>Овощи</t>
        </is>
      </c>
      <c r="H70" s="2" t="n">
        <v>1</v>
      </c>
    </row>
    <row r="71">
      <c r="A71" s="2" t="n">
        <v>70</v>
      </c>
      <c r="B71" s="2" t="inlineStr">
        <is>
          <t>мош</t>
        </is>
      </c>
      <c r="C71" s="2" t="inlineStr">
        <is>
          <t>кг</t>
        </is>
      </c>
      <c r="D71" s="4" t="n">
        <v>15</v>
      </c>
      <c r="E71" s="6" t="n">
        <v>0</v>
      </c>
      <c r="F71" s="6" t="inlineStr"/>
      <c r="G71" s="6" t="inlineStr">
        <is>
          <t>Крупы</t>
        </is>
      </c>
      <c r="H71" s="2" t="n">
        <v>1</v>
      </c>
    </row>
    <row r="72">
      <c r="A72" s="2" t="n">
        <v>71</v>
      </c>
      <c r="B72" s="2" t="inlineStr">
        <is>
          <t>мурч</t>
        </is>
      </c>
      <c r="C72" s="2" t="inlineStr">
        <is>
          <t>кг</t>
        </is>
      </c>
      <c r="D72" s="4" t="n">
        <v>50</v>
      </c>
      <c r="E72" s="6" t="n">
        <v>0</v>
      </c>
      <c r="F72" s="6" t="inlineStr"/>
      <c r="G72" s="6" t="inlineStr">
        <is>
          <t>Прочее</t>
        </is>
      </c>
      <c r="H72" s="2" t="n">
        <v>7</v>
      </c>
    </row>
    <row r="73">
      <c r="A73" s="2" t="n">
        <v>72</v>
      </c>
      <c r="B73" s="2" t="inlineStr">
        <is>
          <t>мякот баран</t>
        </is>
      </c>
      <c r="C73" s="2" t="inlineStr">
        <is>
          <t>кг</t>
        </is>
      </c>
      <c r="D73" s="4" t="n">
        <v>105</v>
      </c>
      <c r="E73" s="6" t="n">
        <v>0</v>
      </c>
      <c r="F73" s="6" t="inlineStr"/>
      <c r="G73" s="6" t="inlineStr">
        <is>
          <t>Прочее</t>
        </is>
      </c>
      <c r="H73" s="2" t="n">
        <v>1</v>
      </c>
    </row>
    <row r="74">
      <c r="A74" s="2" t="n">
        <v>73</v>
      </c>
      <c r="B74" s="2" t="inlineStr">
        <is>
          <t>мякот баранина</t>
        </is>
      </c>
      <c r="C74" s="2" t="inlineStr">
        <is>
          <t>кг</t>
        </is>
      </c>
      <c r="D74" s="4" t="n">
        <v>130</v>
      </c>
      <c r="E74" s="6" t="n">
        <v>0</v>
      </c>
      <c r="F74" s="6" t="inlineStr"/>
      <c r="G74" s="6" t="inlineStr">
        <is>
          <t>Мясо</t>
        </is>
      </c>
      <c r="H74" s="2" t="n">
        <v>2</v>
      </c>
    </row>
    <row r="75">
      <c r="A75" s="2" t="n">
        <v>74</v>
      </c>
      <c r="B75" s="2" t="inlineStr">
        <is>
          <t>мясо</t>
        </is>
      </c>
      <c r="C75" s="2" t="inlineStr">
        <is>
          <t>кг</t>
        </is>
      </c>
      <c r="D75" s="4" t="n">
        <v>130</v>
      </c>
      <c r="E75" s="6" t="n">
        <v>0</v>
      </c>
      <c r="F75" s="6" t="inlineStr"/>
      <c r="G75" s="6" t="inlineStr">
        <is>
          <t>Мясо</t>
        </is>
      </c>
      <c r="H75" s="2" t="n">
        <v>5</v>
      </c>
    </row>
    <row r="76">
      <c r="A76" s="2" t="n">
        <v>75</v>
      </c>
      <c r="B76" s="2" t="inlineStr">
        <is>
          <t>нац поцент</t>
        </is>
      </c>
      <c r="C76" s="2" t="inlineStr">
        <is>
          <t>кг</t>
        </is>
      </c>
      <c r="D76" s="4" t="n">
        <v>0</v>
      </c>
      <c r="E76" s="6" t="n">
        <v>0</v>
      </c>
      <c r="F76" s="6" t="inlineStr"/>
      <c r="G76" s="6" t="inlineStr">
        <is>
          <t>Прочее</t>
        </is>
      </c>
      <c r="H76" s="2" t="n">
        <v>12</v>
      </c>
    </row>
    <row r="77">
      <c r="A77" s="2" t="n">
        <v>76</v>
      </c>
      <c r="B77" s="2" t="inlineStr">
        <is>
          <t>нон</t>
        </is>
      </c>
      <c r="C77" s="2" t="inlineStr">
        <is>
          <t>кг</t>
        </is>
      </c>
      <c r="D77" s="4" t="n">
        <v>4.5</v>
      </c>
      <c r="E77" s="6" t="n">
        <v>0</v>
      </c>
      <c r="F77" s="6" t="inlineStr"/>
      <c r="G77" s="6" t="inlineStr">
        <is>
          <t>Прочее</t>
        </is>
      </c>
      <c r="H77" s="2" t="n">
        <v>1</v>
      </c>
    </row>
    <row r="78">
      <c r="A78" s="2" t="n">
        <v>77</v>
      </c>
      <c r="B78" s="2" t="inlineStr">
        <is>
          <t>нухот</t>
        </is>
      </c>
      <c r="C78" s="2" t="inlineStr">
        <is>
          <t>кг</t>
        </is>
      </c>
      <c r="D78" s="4" t="n">
        <v>10</v>
      </c>
      <c r="E78" s="6" t="n">
        <v>0</v>
      </c>
      <c r="F78" s="6" t="inlineStr"/>
      <c r="G78" s="6" t="inlineStr">
        <is>
          <t>Крупы</t>
        </is>
      </c>
      <c r="H78" s="2" t="n">
        <v>3</v>
      </c>
    </row>
    <row r="79">
      <c r="A79" s="2" t="n">
        <v>78</v>
      </c>
      <c r="B79" s="2" t="inlineStr">
        <is>
          <t>овсянка</t>
        </is>
      </c>
      <c r="C79" s="2" t="inlineStr">
        <is>
          <t>кг</t>
        </is>
      </c>
      <c r="D79" s="4" t="n">
        <v>10</v>
      </c>
      <c r="E79" s="6" t="n">
        <v>0</v>
      </c>
      <c r="F79" s="6" t="inlineStr"/>
      <c r="G79" s="6" t="inlineStr">
        <is>
          <t>Прочее</t>
        </is>
      </c>
      <c r="H79" s="2" t="n">
        <v>1</v>
      </c>
    </row>
    <row r="80">
      <c r="A80" s="2" t="n">
        <v>79</v>
      </c>
      <c r="B80" s="2" t="inlineStr">
        <is>
          <t>окорочка</t>
        </is>
      </c>
      <c r="C80" s="2" t="inlineStr">
        <is>
          <t>кг</t>
        </is>
      </c>
      <c r="D80" s="4" t="n">
        <v>80</v>
      </c>
      <c r="E80" s="6" t="n">
        <v>0</v>
      </c>
      <c r="F80" s="6" t="inlineStr"/>
      <c r="G80" s="6" t="inlineStr">
        <is>
          <t>Птица</t>
        </is>
      </c>
      <c r="H80" s="2" t="n">
        <v>1</v>
      </c>
    </row>
    <row r="81">
      <c r="A81" s="2" t="n">
        <v>80</v>
      </c>
      <c r="B81" s="2" t="inlineStr">
        <is>
          <t>оливкий</t>
        </is>
      </c>
      <c r="C81" s="2" t="inlineStr">
        <is>
          <t>кг</t>
        </is>
      </c>
      <c r="D81" s="4" t="n">
        <v>45</v>
      </c>
      <c r="E81" s="6" t="n">
        <v>0</v>
      </c>
      <c r="F81" s="6" t="inlineStr"/>
      <c r="G81" s="6" t="inlineStr">
        <is>
          <t>Масла и жиры</t>
        </is>
      </c>
      <c r="H81" s="2" t="n">
        <v>2</v>
      </c>
    </row>
    <row r="82">
      <c r="A82" s="2" t="n">
        <v>81</v>
      </c>
      <c r="B82" s="2" t="inlineStr">
        <is>
          <t>оливкий масло</t>
        </is>
      </c>
      <c r="C82" s="2" t="inlineStr">
        <is>
          <t>л</t>
        </is>
      </c>
      <c r="D82" s="4" t="n">
        <v>45</v>
      </c>
      <c r="E82" s="6" t="n">
        <v>0</v>
      </c>
      <c r="F82" s="6" t="inlineStr"/>
      <c r="G82" s="6" t="inlineStr">
        <is>
          <t>Масла и жиры</t>
        </is>
      </c>
      <c r="H82" s="2" t="n">
        <v>3</v>
      </c>
    </row>
    <row r="83">
      <c r="A83" s="2" t="n">
        <v>82</v>
      </c>
      <c r="B83" s="2" t="inlineStr">
        <is>
          <t>паприка</t>
        </is>
      </c>
      <c r="C83" s="2" t="inlineStr">
        <is>
          <t>кг</t>
        </is>
      </c>
      <c r="D83" s="4" t="n">
        <v>25</v>
      </c>
      <c r="E83" s="6" t="n">
        <v>0</v>
      </c>
      <c r="F83" s="6" t="inlineStr"/>
      <c r="G83" s="6" t="inlineStr">
        <is>
          <t>Специи и приправы</t>
        </is>
      </c>
      <c r="H83" s="2" t="n">
        <v>1</v>
      </c>
    </row>
    <row r="84">
      <c r="A84" s="2" t="n">
        <v>83</v>
      </c>
      <c r="B84" s="2" t="inlineStr">
        <is>
          <t>парика</t>
        </is>
      </c>
      <c r="C84" s="2" t="inlineStr">
        <is>
          <t>кг</t>
        </is>
      </c>
      <c r="D84" s="4" t="n">
        <v>20</v>
      </c>
      <c r="E84" s="6" t="n">
        <v>0</v>
      </c>
      <c r="F84" s="6" t="inlineStr"/>
      <c r="G84" s="6" t="inlineStr">
        <is>
          <t>Прочее</t>
        </is>
      </c>
      <c r="H84" s="2" t="n">
        <v>5</v>
      </c>
    </row>
    <row r="85">
      <c r="A85" s="2" t="n">
        <v>84</v>
      </c>
      <c r="B85" s="2" t="inlineStr">
        <is>
          <t>пармизан сыр</t>
        </is>
      </c>
      <c r="C85" s="2" t="inlineStr">
        <is>
          <t>кг</t>
        </is>
      </c>
      <c r="D85" s="4" t="n">
        <v>220</v>
      </c>
      <c r="E85" s="6" t="n">
        <v>0</v>
      </c>
      <c r="F85" s="6" t="inlineStr"/>
      <c r="G85" s="6" t="inlineStr">
        <is>
          <t>Молочные</t>
        </is>
      </c>
      <c r="H85" s="2" t="n">
        <v>4</v>
      </c>
    </row>
    <row r="86">
      <c r="A86" s="2" t="n">
        <v>85</v>
      </c>
      <c r="B86" s="2" t="inlineStr">
        <is>
          <t>пекинка</t>
        </is>
      </c>
      <c r="C86" s="2" t="inlineStr">
        <is>
          <t>кг</t>
        </is>
      </c>
      <c r="D86" s="4" t="n">
        <v>10</v>
      </c>
      <c r="E86" s="6" t="n">
        <v>0</v>
      </c>
      <c r="F86" s="6" t="inlineStr"/>
      <c r="G86" s="6" t="inlineStr">
        <is>
          <t>Овощи</t>
        </is>
      </c>
      <c r="H86" s="2" t="n">
        <v>1</v>
      </c>
    </row>
    <row r="87">
      <c r="A87" s="2" t="n">
        <v>86</v>
      </c>
      <c r="B87" s="2" t="inlineStr">
        <is>
          <t>пиез</t>
        </is>
      </c>
      <c r="C87" s="2" t="inlineStr">
        <is>
          <t>кг</t>
        </is>
      </c>
      <c r="D87" s="4" t="n">
        <v>10</v>
      </c>
      <c r="E87" s="6" t="n">
        <v>0</v>
      </c>
      <c r="F87" s="6" t="inlineStr"/>
      <c r="G87" s="6" t="inlineStr">
        <is>
          <t>Овощи</t>
        </is>
      </c>
      <c r="H87" s="2" t="n">
        <v>17</v>
      </c>
    </row>
    <row r="88">
      <c r="A88" s="2" t="n">
        <v>87</v>
      </c>
      <c r="B88" s="2" t="inlineStr">
        <is>
          <t>писта</t>
        </is>
      </c>
      <c r="C88" s="2" t="inlineStr">
        <is>
          <t>кг</t>
        </is>
      </c>
      <c r="D88" s="4" t="n">
        <v>200</v>
      </c>
      <c r="E88" s="6" t="n">
        <v>0</v>
      </c>
      <c r="F88" s="6" t="inlineStr"/>
      <c r="G88" s="6" t="inlineStr">
        <is>
          <t>Прочее</t>
        </is>
      </c>
      <c r="H88" s="2" t="n">
        <v>1</v>
      </c>
    </row>
    <row r="89">
      <c r="A89" s="2" t="n">
        <v>88</v>
      </c>
      <c r="B89" s="2" t="inlineStr">
        <is>
          <t>помидор</t>
        </is>
      </c>
      <c r="C89" s="2" t="inlineStr">
        <is>
          <t>кг</t>
        </is>
      </c>
      <c r="D89" s="4" t="n">
        <v>30</v>
      </c>
      <c r="E89" s="6" t="n">
        <v>0</v>
      </c>
      <c r="F89" s="6" t="inlineStr"/>
      <c r="G89" s="6" t="inlineStr">
        <is>
          <t>Овощи</t>
        </is>
      </c>
      <c r="H89" s="2" t="n">
        <v>8</v>
      </c>
    </row>
    <row r="90">
      <c r="A90" s="2" t="n">
        <v>89</v>
      </c>
      <c r="B90" s="2" t="inlineStr">
        <is>
          <t>порция</t>
        </is>
      </c>
      <c r="C90" s="2" t="inlineStr">
        <is>
          <t>кг</t>
        </is>
      </c>
      <c r="D90" s="4" t="n">
        <v>0</v>
      </c>
      <c r="E90" s="6" t="n">
        <v>0</v>
      </c>
      <c r="F90" s="6" t="inlineStr"/>
      <c r="G90" s="6" t="inlineStr">
        <is>
          <t>Прочее</t>
        </is>
      </c>
      <c r="H90" s="2" t="n">
        <v>18</v>
      </c>
    </row>
    <row r="91">
      <c r="A91" s="2" t="n">
        <v>90</v>
      </c>
      <c r="B91" s="2" t="inlineStr">
        <is>
          <t>прод нац</t>
        </is>
      </c>
      <c r="C91" s="2" t="inlineStr">
        <is>
          <t>кг</t>
        </is>
      </c>
      <c r="D91" s="4" t="n">
        <v>0</v>
      </c>
      <c r="E91" s="6" t="n">
        <v>0</v>
      </c>
      <c r="F91" s="6" t="inlineStr"/>
      <c r="G91" s="6" t="inlineStr">
        <is>
          <t>Прочее</t>
        </is>
      </c>
      <c r="H91" s="2" t="n">
        <v>1</v>
      </c>
    </row>
    <row r="92">
      <c r="A92" s="2" t="n">
        <v>91</v>
      </c>
      <c r="B92" s="2" t="inlineStr">
        <is>
          <t>ребро</t>
        </is>
      </c>
      <c r="C92" s="2" t="inlineStr">
        <is>
          <t>кг</t>
        </is>
      </c>
      <c r="D92" s="4" t="n">
        <v>105</v>
      </c>
      <c r="E92" s="6" t="n">
        <v>0</v>
      </c>
      <c r="F92" s="6" t="inlineStr"/>
      <c r="G92" s="6" t="inlineStr">
        <is>
          <t>Мясо</t>
        </is>
      </c>
      <c r="H92" s="2" t="n">
        <v>1</v>
      </c>
    </row>
    <row r="93">
      <c r="A93" s="2" t="n">
        <v>92</v>
      </c>
      <c r="B93" s="2" t="inlineStr">
        <is>
          <t>рис</t>
        </is>
      </c>
      <c r="C93" s="2" t="inlineStr">
        <is>
          <t>кг</t>
        </is>
      </c>
      <c r="D93" s="4" t="n">
        <v>10</v>
      </c>
      <c r="E93" s="6" t="n">
        <v>0</v>
      </c>
      <c r="F93" s="6" t="inlineStr"/>
      <c r="G93" s="6" t="inlineStr">
        <is>
          <t>Крупы</t>
        </is>
      </c>
      <c r="H93" s="2" t="n">
        <v>1</v>
      </c>
    </row>
    <row r="94">
      <c r="A94" s="2" t="n">
        <v>93</v>
      </c>
      <c r="B94" s="2" t="inlineStr">
        <is>
          <t>сабзи</t>
        </is>
      </c>
      <c r="C94" s="2" t="inlineStr">
        <is>
          <t>кг</t>
        </is>
      </c>
      <c r="D94" s="4" t="n">
        <v>10</v>
      </c>
      <c r="E94" s="6" t="n">
        <v>0</v>
      </c>
      <c r="F94" s="6" t="inlineStr"/>
      <c r="G94" s="6" t="inlineStr">
        <is>
          <t>Овощи</t>
        </is>
      </c>
      <c r="H94" s="2" t="n">
        <v>12</v>
      </c>
    </row>
    <row r="95">
      <c r="A95" s="2" t="n">
        <v>94</v>
      </c>
      <c r="B95" s="2" t="inlineStr">
        <is>
          <t>сабзи кизил</t>
        </is>
      </c>
      <c r="C95" s="2" t="inlineStr">
        <is>
          <t>кг</t>
        </is>
      </c>
      <c r="D95" s="4" t="n">
        <v>5</v>
      </c>
      <c r="E95" s="6" t="n">
        <v>0</v>
      </c>
      <c r="F95" s="6" t="inlineStr"/>
      <c r="G95" s="6" t="inlineStr">
        <is>
          <t>Овощи</t>
        </is>
      </c>
      <c r="H95" s="2" t="n">
        <v>1</v>
      </c>
    </row>
    <row r="96">
      <c r="A96" s="2" t="n">
        <v>95</v>
      </c>
      <c r="B96" s="2" t="inlineStr">
        <is>
          <t>сабзи сарик</t>
        </is>
      </c>
      <c r="C96" s="2" t="inlineStr">
        <is>
          <t>кг</t>
        </is>
      </c>
      <c r="D96" s="4" t="n">
        <v>5</v>
      </c>
      <c r="E96" s="6" t="n">
        <v>0</v>
      </c>
      <c r="F96" s="6" t="inlineStr"/>
      <c r="G96" s="6" t="inlineStr">
        <is>
          <t>Овощи</t>
        </is>
      </c>
      <c r="H96" s="2" t="n">
        <v>1</v>
      </c>
    </row>
    <row r="97">
      <c r="A97" s="2" t="n">
        <v>96</v>
      </c>
      <c r="B97" s="2" t="inlineStr">
        <is>
          <t>салат</t>
        </is>
      </c>
      <c r="C97" s="2" t="inlineStr">
        <is>
          <t>кг</t>
        </is>
      </c>
      <c r="D97" s="4" t="n">
        <v>33</v>
      </c>
      <c r="E97" s="6" t="n">
        <v>0</v>
      </c>
      <c r="F97" s="6" t="inlineStr"/>
      <c r="G97" s="6" t="inlineStr">
        <is>
          <t>Прочее</t>
        </is>
      </c>
      <c r="H97" s="2" t="n">
        <v>1</v>
      </c>
    </row>
    <row r="98">
      <c r="A98" s="2" t="n">
        <v>97</v>
      </c>
      <c r="B98" s="2" t="inlineStr">
        <is>
          <t>салат лист</t>
        </is>
      </c>
      <c r="C98" s="2" t="inlineStr">
        <is>
          <t>кг</t>
        </is>
      </c>
      <c r="D98" s="4" t="n">
        <v>2</v>
      </c>
      <c r="E98" s="6" t="n">
        <v>0</v>
      </c>
      <c r="F98" s="6" t="inlineStr"/>
      <c r="G98" s="6" t="inlineStr">
        <is>
          <t>Овощи</t>
        </is>
      </c>
      <c r="H98" s="2" t="n">
        <v>1</v>
      </c>
    </row>
    <row r="99">
      <c r="A99" s="2" t="n">
        <v>98</v>
      </c>
      <c r="B99" s="2" t="inlineStr">
        <is>
          <t>сарег</t>
        </is>
      </c>
      <c r="C99" s="2" t="inlineStr">
        <is>
          <t>кг</t>
        </is>
      </c>
      <c r="D99" s="4" t="n">
        <v>40</v>
      </c>
      <c r="E99" s="6" t="n">
        <v>0</v>
      </c>
      <c r="F99" s="6" t="inlineStr"/>
      <c r="G99" s="6" t="inlineStr">
        <is>
          <t>Масла и жиры</t>
        </is>
      </c>
      <c r="H99" s="2" t="n">
        <v>11</v>
      </c>
    </row>
    <row r="100">
      <c r="A100" s="2" t="n">
        <v>99</v>
      </c>
      <c r="B100" s="2" t="inlineStr">
        <is>
          <t>селдерей</t>
        </is>
      </c>
      <c r="C100" s="2" t="inlineStr">
        <is>
          <t>кг</t>
        </is>
      </c>
      <c r="D100" s="4" t="n">
        <v>100</v>
      </c>
      <c r="E100" s="6" t="n">
        <v>0</v>
      </c>
      <c r="F100" s="6" t="inlineStr"/>
      <c r="G100" s="6" t="inlineStr">
        <is>
          <t>Прочее</t>
        </is>
      </c>
      <c r="H100" s="2" t="n">
        <v>2</v>
      </c>
    </row>
    <row r="101">
      <c r="A101" s="2" t="n">
        <v>100</v>
      </c>
      <c r="B101" s="2" t="inlineStr">
        <is>
          <t>сливки</t>
        </is>
      </c>
      <c r="C101" s="2" t="inlineStr">
        <is>
          <t>л</t>
        </is>
      </c>
      <c r="D101" s="4" t="n">
        <v>70</v>
      </c>
      <c r="E101" s="6" t="n">
        <v>0</v>
      </c>
      <c r="F101" s="6" t="inlineStr"/>
      <c r="G101" s="6" t="inlineStr">
        <is>
          <t>Молочные</t>
        </is>
      </c>
      <c r="H101" s="2" t="n">
        <v>6</v>
      </c>
    </row>
    <row r="102">
      <c r="A102" s="2" t="n">
        <v>101</v>
      </c>
      <c r="B102" s="2" t="inlineStr">
        <is>
          <t>сметана</t>
        </is>
      </c>
      <c r="C102" s="2" t="inlineStr">
        <is>
          <t>кг</t>
        </is>
      </c>
      <c r="D102" s="4" t="n">
        <v>15</v>
      </c>
      <c r="E102" s="6" t="n">
        <v>0</v>
      </c>
      <c r="F102" s="6" t="inlineStr"/>
      <c r="G102" s="6" t="inlineStr">
        <is>
          <t>Молочные</t>
        </is>
      </c>
      <c r="H102" s="2" t="n">
        <v>3</v>
      </c>
    </row>
    <row r="103">
      <c r="A103" s="2" t="n">
        <v>102</v>
      </c>
      <c r="B103" s="2" t="inlineStr">
        <is>
          <t>содда</t>
        </is>
      </c>
      <c r="C103" s="2" t="inlineStr">
        <is>
          <t>кг</t>
        </is>
      </c>
      <c r="D103" s="4" t="n">
        <v>14</v>
      </c>
      <c r="E103" s="6" t="n">
        <v>0</v>
      </c>
      <c r="F103" s="6" t="inlineStr"/>
      <c r="G103" s="6" t="inlineStr">
        <is>
          <t>Прочее</t>
        </is>
      </c>
      <c r="H103" s="2" t="n">
        <v>1</v>
      </c>
    </row>
    <row r="104">
      <c r="A104" s="2" t="n">
        <v>103</v>
      </c>
      <c r="B104" s="2" t="inlineStr">
        <is>
          <t>соевы</t>
        </is>
      </c>
      <c r="C104" s="2" t="inlineStr">
        <is>
          <t>кг</t>
        </is>
      </c>
      <c r="D104" s="4" t="n">
        <v>26</v>
      </c>
      <c r="E104" s="6" t="n">
        <v>0</v>
      </c>
      <c r="F104" s="6" t="inlineStr"/>
      <c r="G104" s="6" t="inlineStr">
        <is>
          <t>Прочее</t>
        </is>
      </c>
      <c r="H104" s="2" t="n">
        <v>2</v>
      </c>
    </row>
    <row r="105">
      <c r="A105" s="2" t="n">
        <v>104</v>
      </c>
      <c r="B105" s="2" t="inlineStr">
        <is>
          <t>соевый</t>
        </is>
      </c>
      <c r="C105" s="2" t="inlineStr">
        <is>
          <t>кг</t>
        </is>
      </c>
      <c r="D105" s="4" t="n">
        <v>26</v>
      </c>
      <c r="E105" s="6" t="n">
        <v>0</v>
      </c>
      <c r="F105" s="6" t="inlineStr"/>
      <c r="G105" s="6" t="inlineStr">
        <is>
          <t>Прочее</t>
        </is>
      </c>
      <c r="H105" s="2" t="n">
        <v>1</v>
      </c>
    </row>
    <row r="106">
      <c r="A106" s="2" t="n">
        <v>105</v>
      </c>
      <c r="B106" s="2" t="inlineStr">
        <is>
          <t>соевый соус</t>
        </is>
      </c>
      <c r="C106" s="2" t="inlineStr">
        <is>
          <t>л</t>
        </is>
      </c>
      <c r="D106" s="4" t="n">
        <v>26</v>
      </c>
      <c r="E106" s="6" t="n">
        <v>0</v>
      </c>
      <c r="F106" s="6" t="inlineStr"/>
      <c r="G106" s="6" t="inlineStr">
        <is>
          <t>Соусы</t>
        </is>
      </c>
      <c r="H106" s="2" t="n">
        <v>2</v>
      </c>
    </row>
    <row r="107">
      <c r="A107" s="2" t="n">
        <v>106</v>
      </c>
      <c r="B107" s="2" t="inlineStr">
        <is>
          <t>соквый соус</t>
        </is>
      </c>
      <c r="C107" s="2" t="inlineStr">
        <is>
          <t>л</t>
        </is>
      </c>
      <c r="D107" s="4" t="n">
        <v>26</v>
      </c>
      <c r="E107" s="6" t="n">
        <v>0</v>
      </c>
      <c r="F107" s="6" t="inlineStr"/>
      <c r="G107" s="6" t="inlineStr">
        <is>
          <t>Соусы</t>
        </is>
      </c>
      <c r="H107" s="2" t="n">
        <v>1</v>
      </c>
    </row>
    <row r="108">
      <c r="A108" s="2" t="n">
        <v>107</v>
      </c>
      <c r="B108" s="2" t="inlineStr">
        <is>
          <t>сосиска</t>
        </is>
      </c>
      <c r="C108" s="2" t="inlineStr">
        <is>
          <t>кг</t>
        </is>
      </c>
      <c r="D108" s="4" t="n">
        <v>80</v>
      </c>
      <c r="E108" s="6" t="n">
        <v>0</v>
      </c>
      <c r="F108" s="6" t="inlineStr"/>
      <c r="G108" s="6" t="inlineStr">
        <is>
          <t>Прочее</t>
        </is>
      </c>
      <c r="H108" s="2" t="n">
        <v>1</v>
      </c>
    </row>
    <row r="109">
      <c r="A109" s="2" t="n">
        <v>108</v>
      </c>
      <c r="B109" s="2" t="inlineStr">
        <is>
          <t>соус</t>
        </is>
      </c>
      <c r="C109" s="2" t="inlineStr">
        <is>
          <t>л</t>
        </is>
      </c>
      <c r="D109" s="4" t="n">
        <v>20</v>
      </c>
      <c r="E109" s="6" t="n">
        <v>0</v>
      </c>
      <c r="F109" s="6" t="inlineStr"/>
      <c r="G109" s="6" t="inlineStr">
        <is>
          <t>Соусы</t>
        </is>
      </c>
      <c r="H109" s="2" t="n">
        <v>3</v>
      </c>
    </row>
    <row r="110">
      <c r="A110" s="2" t="n">
        <v>109</v>
      </c>
      <c r="B110" s="2" t="inlineStr">
        <is>
          <t>специ</t>
        </is>
      </c>
      <c r="C110" s="2" t="inlineStr">
        <is>
          <t>кг</t>
        </is>
      </c>
      <c r="D110" s="4" t="n">
        <v>100</v>
      </c>
      <c r="E110" s="6" t="n">
        <v>0</v>
      </c>
      <c r="F110" s="6" t="inlineStr"/>
      <c r="G110" s="6" t="inlineStr">
        <is>
          <t>Прочее</t>
        </is>
      </c>
      <c r="H110" s="2" t="n">
        <v>7</v>
      </c>
    </row>
    <row r="111">
      <c r="A111" s="2" t="n">
        <v>110</v>
      </c>
      <c r="B111" s="2" t="inlineStr">
        <is>
          <t>сув</t>
        </is>
      </c>
      <c r="C111" s="2" t="inlineStr">
        <is>
          <t>кг</t>
        </is>
      </c>
      <c r="D111" s="4" t="n">
        <v>0.4</v>
      </c>
      <c r="E111" s="6" t="n">
        <v>0</v>
      </c>
      <c r="F111" s="6" t="inlineStr"/>
      <c r="G111" s="6" t="inlineStr">
        <is>
          <t>Прочее</t>
        </is>
      </c>
      <c r="H111" s="2" t="n">
        <v>10</v>
      </c>
    </row>
    <row r="112">
      <c r="A112" s="2" t="n">
        <v>111</v>
      </c>
      <c r="B112" s="2" t="inlineStr">
        <is>
          <t>сумма общ</t>
        </is>
      </c>
      <c r="C112" s="2" t="inlineStr">
        <is>
          <t>кг</t>
        </is>
      </c>
      <c r="D112" s="4" t="n">
        <v>0</v>
      </c>
      <c r="E112" s="6" t="n">
        <v>0</v>
      </c>
      <c r="F112" s="6" t="inlineStr"/>
      <c r="G112" s="6" t="inlineStr">
        <is>
          <t>Прочее</t>
        </is>
      </c>
      <c r="H112" s="2" t="n">
        <v>2</v>
      </c>
    </row>
    <row r="113">
      <c r="A113" s="2" t="n">
        <v>112</v>
      </c>
      <c r="B113" s="2" t="inlineStr">
        <is>
          <t>сут</t>
        </is>
      </c>
      <c r="C113" s="2" t="inlineStr">
        <is>
          <t>л</t>
        </is>
      </c>
      <c r="D113" s="4" t="n">
        <v>10</v>
      </c>
      <c r="E113" s="6" t="n">
        <v>0</v>
      </c>
      <c r="F113" s="6" t="inlineStr"/>
      <c r="G113" s="6" t="inlineStr">
        <is>
          <t>Молочные</t>
        </is>
      </c>
      <c r="H113" s="2" t="n">
        <v>8</v>
      </c>
    </row>
    <row r="114">
      <c r="A114" s="2" t="n">
        <v>113</v>
      </c>
      <c r="B114" s="2" t="inlineStr">
        <is>
          <t>сыр</t>
        </is>
      </c>
      <c r="C114" s="2" t="inlineStr">
        <is>
          <t>кг</t>
        </is>
      </c>
      <c r="D114" s="4" t="n">
        <v>70</v>
      </c>
      <c r="E114" s="6" t="n">
        <v>0</v>
      </c>
      <c r="F114" s="6" t="inlineStr"/>
      <c r="G114" s="6" t="inlineStr">
        <is>
          <t>Молочные</t>
        </is>
      </c>
      <c r="H114" s="2" t="n">
        <v>5</v>
      </c>
    </row>
    <row r="115">
      <c r="A115" s="2" t="n">
        <v>114</v>
      </c>
      <c r="B115" s="2" t="inlineStr">
        <is>
          <t>творог</t>
        </is>
      </c>
      <c r="C115" s="2" t="inlineStr">
        <is>
          <t>кг</t>
        </is>
      </c>
      <c r="D115" s="4" t="n">
        <v>23</v>
      </c>
      <c r="E115" s="6" t="n">
        <v>0</v>
      </c>
      <c r="F115" s="6" t="inlineStr"/>
      <c r="G115" s="6" t="inlineStr">
        <is>
          <t>Молочные</t>
        </is>
      </c>
      <c r="H115" s="2" t="n">
        <v>1</v>
      </c>
    </row>
    <row r="116">
      <c r="A116" s="2" t="n">
        <v>115</v>
      </c>
      <c r="B116" s="2" t="inlineStr">
        <is>
          <t>тефтел</t>
        </is>
      </c>
      <c r="C116" s="2" t="inlineStr">
        <is>
          <t>кг</t>
        </is>
      </c>
      <c r="D116" s="4" t="n">
        <v>78.75</v>
      </c>
      <c r="E116" s="6" t="n">
        <v>0</v>
      </c>
      <c r="F116" s="6" t="inlineStr"/>
      <c r="G116" s="6" t="inlineStr">
        <is>
          <t>Прочее</t>
        </is>
      </c>
      <c r="H116" s="2" t="n">
        <v>1</v>
      </c>
    </row>
    <row r="117">
      <c r="A117" s="2" t="n">
        <v>116</v>
      </c>
      <c r="B117" s="2" t="inlineStr">
        <is>
          <t>тил</t>
        </is>
      </c>
      <c r="C117" s="2" t="inlineStr">
        <is>
          <t>кг</t>
        </is>
      </c>
      <c r="D117" s="4" t="n">
        <v>125</v>
      </c>
      <c r="E117" s="6" t="n">
        <v>0</v>
      </c>
      <c r="F117" s="6" t="inlineStr"/>
      <c r="G117" s="6" t="inlineStr">
        <is>
          <t>Прочее</t>
        </is>
      </c>
      <c r="H117" s="2" t="n">
        <v>3</v>
      </c>
    </row>
    <row r="118">
      <c r="A118" s="2" t="n">
        <v>117</v>
      </c>
      <c r="B118" s="2" t="inlineStr">
        <is>
          <t>тил баранина</t>
        </is>
      </c>
      <c r="C118" s="2" t="inlineStr">
        <is>
          <t>кг</t>
        </is>
      </c>
      <c r="D118" s="4" t="n">
        <v>108</v>
      </c>
      <c r="E118" s="6" t="n">
        <v>0</v>
      </c>
      <c r="F118" s="6" t="inlineStr"/>
      <c r="G118" s="6" t="inlineStr">
        <is>
          <t>Мясо</t>
        </is>
      </c>
      <c r="H118" s="2" t="n">
        <v>1</v>
      </c>
    </row>
    <row r="119">
      <c r="A119" s="2" t="n">
        <v>118</v>
      </c>
      <c r="B119" s="2" t="inlineStr">
        <is>
          <t>томат</t>
        </is>
      </c>
      <c r="C119" s="2" t="inlineStr">
        <is>
          <t>кг</t>
        </is>
      </c>
      <c r="D119" s="4" t="n">
        <v>25</v>
      </c>
      <c r="E119" s="6" t="n">
        <v>0</v>
      </c>
      <c r="F119" s="6" t="inlineStr"/>
      <c r="G119" s="6" t="inlineStr">
        <is>
          <t>Прочее</t>
        </is>
      </c>
      <c r="H119" s="2" t="n">
        <v>4</v>
      </c>
    </row>
    <row r="120">
      <c r="A120" s="2" t="n">
        <v>119</v>
      </c>
      <c r="B120" s="2" t="inlineStr">
        <is>
          <t>туз</t>
        </is>
      </c>
      <c r="C120" s="2" t="inlineStr">
        <is>
          <t>кг</t>
        </is>
      </c>
      <c r="D120" s="4" t="n">
        <v>2</v>
      </c>
      <c r="E120" s="6" t="n">
        <v>0</v>
      </c>
      <c r="F120" s="6" t="inlineStr"/>
      <c r="G120" s="6" t="inlineStr">
        <is>
          <t>Специи и приправы</t>
        </is>
      </c>
      <c r="H120" s="2" t="n">
        <v>20</v>
      </c>
    </row>
    <row r="121">
      <c r="A121" s="2" t="n">
        <v>120</v>
      </c>
      <c r="B121" s="2" t="inlineStr">
        <is>
          <t>тухум</t>
        </is>
      </c>
      <c r="C121" s="2" t="inlineStr">
        <is>
          <t>шт.</t>
        </is>
      </c>
      <c r="D121" s="4" t="n">
        <v>40</v>
      </c>
      <c r="E121" s="6" t="n">
        <v>0</v>
      </c>
      <c r="F121" s="6" t="inlineStr"/>
      <c r="G121" s="6" t="inlineStr">
        <is>
          <t>Прочее</t>
        </is>
      </c>
      <c r="H121" s="2" t="n">
        <v>9</v>
      </c>
    </row>
    <row r="122">
      <c r="A122" s="2" t="n">
        <v>121</v>
      </c>
      <c r="B122" s="2" t="inlineStr">
        <is>
          <t>уксус</t>
        </is>
      </c>
      <c r="C122" s="2" t="inlineStr">
        <is>
          <t>л</t>
        </is>
      </c>
      <c r="D122" s="4" t="n">
        <v>50</v>
      </c>
      <c r="E122" s="6" t="n">
        <v>0</v>
      </c>
      <c r="F122" s="6" t="inlineStr"/>
      <c r="G122" s="6" t="inlineStr">
        <is>
          <t>Соусы</t>
        </is>
      </c>
      <c r="H122" s="2" t="n">
        <v>1</v>
      </c>
    </row>
    <row r="123">
      <c r="A123" s="2" t="n">
        <v>122</v>
      </c>
      <c r="B123" s="2" t="inlineStr">
        <is>
          <t>ун</t>
        </is>
      </c>
      <c r="C123" s="2" t="inlineStr">
        <is>
          <t>кг</t>
        </is>
      </c>
      <c r="D123" s="4" t="n">
        <v>5.9</v>
      </c>
      <c r="E123" s="6" t="n">
        <v>0</v>
      </c>
      <c r="F123" s="6" t="inlineStr"/>
      <c r="G123" s="6" t="inlineStr">
        <is>
          <t>Мука и тесто</t>
        </is>
      </c>
      <c r="H123" s="2" t="n">
        <v>2</v>
      </c>
    </row>
    <row r="124">
      <c r="A124" s="2" t="n">
        <v>123</v>
      </c>
      <c r="B124" s="2" t="inlineStr">
        <is>
          <t>фарш</t>
        </is>
      </c>
      <c r="C124" s="2" t="inlineStr">
        <is>
          <t>кг</t>
        </is>
      </c>
      <c r="D124" s="4" t="n">
        <v>95.59999999999999</v>
      </c>
      <c r="E124" s="6" t="n">
        <v>0</v>
      </c>
      <c r="F124" s="6" t="inlineStr"/>
      <c r="G124" s="6" t="inlineStr">
        <is>
          <t>Мясо</t>
        </is>
      </c>
      <c r="H124" s="2" t="n">
        <v>7</v>
      </c>
    </row>
    <row r="125">
      <c r="A125" s="2" t="n">
        <v>124</v>
      </c>
      <c r="B125" s="2" t="inlineStr">
        <is>
          <t>фарш гов</t>
        </is>
      </c>
      <c r="C125" s="2" t="inlineStr">
        <is>
          <t>кг</t>
        </is>
      </c>
      <c r="D125" s="4" t="n">
        <v>50</v>
      </c>
      <c r="E125" s="6" t="n">
        <v>0</v>
      </c>
      <c r="F125" s="6" t="inlineStr"/>
      <c r="G125" s="6" t="inlineStr">
        <is>
          <t>Мясо</t>
        </is>
      </c>
      <c r="H125" s="2" t="n">
        <v>1</v>
      </c>
    </row>
    <row r="126">
      <c r="A126" s="2" t="n">
        <v>125</v>
      </c>
      <c r="B126" s="2" t="inlineStr">
        <is>
          <t>фаршина</t>
        </is>
      </c>
      <c r="C126" s="2" t="inlineStr">
        <is>
          <t>кг</t>
        </is>
      </c>
      <c r="D126" s="4" t="n">
        <v>120</v>
      </c>
      <c r="E126" s="6" t="n">
        <v>0</v>
      </c>
      <c r="F126" s="6" t="inlineStr"/>
      <c r="G126" s="6" t="inlineStr">
        <is>
          <t>Мясо</t>
        </is>
      </c>
      <c r="H126" s="2" t="n">
        <v>2</v>
      </c>
    </row>
    <row r="127">
      <c r="A127" s="2" t="n">
        <v>126</v>
      </c>
      <c r="B127" s="2" t="inlineStr">
        <is>
          <t>фри</t>
        </is>
      </c>
      <c r="C127" s="2" t="inlineStr">
        <is>
          <t>кг</t>
        </is>
      </c>
      <c r="D127" s="4" t="n">
        <v>0.5</v>
      </c>
      <c r="E127" s="6" t="n">
        <v>0</v>
      </c>
      <c r="F127" s="6" t="inlineStr"/>
      <c r="G127" s="6" t="inlineStr">
        <is>
          <t>Прочее</t>
        </is>
      </c>
      <c r="H127" s="2" t="n">
        <v>1</v>
      </c>
    </row>
    <row r="128">
      <c r="A128" s="2" t="n">
        <v>127</v>
      </c>
      <c r="B128" s="2" t="inlineStr">
        <is>
          <t>хамир</t>
        </is>
      </c>
      <c r="C128" s="2" t="inlineStr">
        <is>
          <t>кг</t>
        </is>
      </c>
      <c r="D128" s="4" t="n">
        <v>10</v>
      </c>
      <c r="E128" s="6" t="n">
        <v>0</v>
      </c>
      <c r="F128" s="6" t="inlineStr"/>
      <c r="G128" s="6" t="inlineStr">
        <is>
          <t>Прочее</t>
        </is>
      </c>
      <c r="H128" s="2" t="n">
        <v>1</v>
      </c>
    </row>
    <row r="129">
      <c r="A129" s="2" t="n">
        <v>128</v>
      </c>
      <c r="B129" s="2" t="inlineStr">
        <is>
          <t>хлеб</t>
        </is>
      </c>
      <c r="C129" s="2" t="inlineStr">
        <is>
          <t>кг</t>
        </is>
      </c>
      <c r="D129" s="4" t="n">
        <v>10</v>
      </c>
      <c r="E129" s="6" t="n">
        <v>0</v>
      </c>
      <c r="F129" s="6" t="inlineStr"/>
      <c r="G129" s="6" t="inlineStr">
        <is>
          <t>Мука и тесто</t>
        </is>
      </c>
      <c r="H129" s="2" t="n">
        <v>2</v>
      </c>
    </row>
    <row r="130">
      <c r="A130" s="2" t="n">
        <v>129</v>
      </c>
      <c r="B130" s="2" t="inlineStr">
        <is>
          <t>черри</t>
        </is>
      </c>
      <c r="C130" s="2" t="inlineStr">
        <is>
          <t>кг</t>
        </is>
      </c>
      <c r="D130" s="4" t="n">
        <v>20</v>
      </c>
      <c r="E130" s="6" t="n">
        <v>0</v>
      </c>
      <c r="F130" s="6" t="inlineStr"/>
      <c r="G130" s="6" t="inlineStr">
        <is>
          <t>Овощи</t>
        </is>
      </c>
      <c r="H130" s="2" t="n">
        <v>1</v>
      </c>
    </row>
    <row r="131">
      <c r="A131" s="2" t="n">
        <v>130</v>
      </c>
      <c r="B131" s="2" t="inlineStr">
        <is>
          <t>чечивица</t>
        </is>
      </c>
      <c r="C131" s="2" t="inlineStr">
        <is>
          <t>кг</t>
        </is>
      </c>
      <c r="D131" s="4" t="n">
        <v>15</v>
      </c>
      <c r="E131" s="6" t="n">
        <v>0</v>
      </c>
      <c r="F131" s="6" t="inlineStr"/>
      <c r="G131" s="6" t="inlineStr">
        <is>
          <t>Крупы</t>
        </is>
      </c>
      <c r="H131" s="2" t="n">
        <v>1</v>
      </c>
    </row>
    <row r="132">
      <c r="A132" s="2" t="n">
        <v>131</v>
      </c>
      <c r="B132" s="2" t="inlineStr">
        <is>
          <t>чиснок</t>
        </is>
      </c>
      <c r="C132" s="2" t="inlineStr">
        <is>
          <t>кг</t>
        </is>
      </c>
      <c r="D132" s="4" t="n">
        <v>20</v>
      </c>
      <c r="E132" s="6" t="n">
        <v>0</v>
      </c>
      <c r="F132" s="6" t="inlineStr"/>
      <c r="G132" s="6" t="inlineStr">
        <is>
          <t>Прочее</t>
        </is>
      </c>
      <c r="H132" s="2" t="n">
        <v>1</v>
      </c>
    </row>
    <row r="133">
      <c r="A133" s="2" t="n">
        <v>132</v>
      </c>
      <c r="B133" s="2" t="inlineStr">
        <is>
          <t>чиснок сущ</t>
        </is>
      </c>
      <c r="C133" s="2" t="inlineStr">
        <is>
          <t>кг</t>
        </is>
      </c>
      <c r="D133" s="4" t="n">
        <v>50</v>
      </c>
      <c r="E133" s="6" t="n">
        <v>0</v>
      </c>
      <c r="F133" s="6" t="inlineStr"/>
      <c r="G133" s="6" t="inlineStr">
        <is>
          <t>Прочее</t>
        </is>
      </c>
      <c r="H133" s="2" t="n">
        <v>6</v>
      </c>
    </row>
    <row r="134">
      <c r="A134" s="2" t="n">
        <v>133</v>
      </c>
      <c r="B134" s="2" t="inlineStr">
        <is>
          <t>чучвара</t>
        </is>
      </c>
      <c r="C134" s="2" t="inlineStr">
        <is>
          <t>кг</t>
        </is>
      </c>
      <c r="D134" s="4" t="n">
        <v>50</v>
      </c>
      <c r="E134" s="6" t="n">
        <v>0</v>
      </c>
      <c r="F134" s="6" t="inlineStr"/>
      <c r="G134" s="6" t="inlineStr">
        <is>
          <t>Мука и тесто</t>
        </is>
      </c>
      <c r="H134" s="2" t="n">
        <v>1</v>
      </c>
    </row>
    <row r="135">
      <c r="A135" s="2" t="n">
        <v>134</v>
      </c>
      <c r="B135" s="2" t="inlineStr">
        <is>
          <t>шавел</t>
        </is>
      </c>
      <c r="C135" s="2" t="inlineStr">
        <is>
          <t>кг</t>
        </is>
      </c>
      <c r="D135" s="4" t="n">
        <v>50</v>
      </c>
      <c r="E135" s="6" t="n">
        <v>0</v>
      </c>
      <c r="F135" s="6" t="inlineStr"/>
      <c r="G135" s="6" t="inlineStr">
        <is>
          <t>Прочее</t>
        </is>
      </c>
      <c r="H135" s="2" t="n">
        <v>1</v>
      </c>
    </row>
    <row r="136">
      <c r="A136" s="2" t="n">
        <v>135</v>
      </c>
      <c r="B136" s="2" t="inlineStr">
        <is>
          <t>шакар</t>
        </is>
      </c>
      <c r="C136" s="2" t="inlineStr">
        <is>
          <t>кг</t>
        </is>
      </c>
      <c r="D136" s="4" t="n">
        <v>10</v>
      </c>
      <c r="E136" s="6" t="n">
        <v>0</v>
      </c>
      <c r="F136" s="6" t="inlineStr"/>
      <c r="G136" s="6" t="inlineStr">
        <is>
          <t>Прочее</t>
        </is>
      </c>
      <c r="H136" s="2" t="n">
        <v>4</v>
      </c>
    </row>
    <row r="137">
      <c r="A137" s="2" t="n">
        <v>136</v>
      </c>
      <c r="B137" s="2" t="inlineStr">
        <is>
          <t>шаурма</t>
        </is>
      </c>
      <c r="C137" s="2" t="inlineStr">
        <is>
          <t>кг</t>
        </is>
      </c>
      <c r="D137" s="4" t="n">
        <v>39</v>
      </c>
      <c r="E137" s="6" t="n">
        <v>0</v>
      </c>
      <c r="F137" s="6" t="inlineStr"/>
      <c r="G137" s="6" t="inlineStr">
        <is>
          <t>Прочее</t>
        </is>
      </c>
      <c r="H137" s="2" t="n">
        <v>1</v>
      </c>
    </row>
  </sheetData>
  <dataValidations count="2">
    <dataValidation sqref="C2:C137" showDropDown="0" showInputMessage="0" showErrorMessage="0" allowBlank="1" errorTitle="Ошибка" error="Выберите единицу из списка" promptTitle="Ед. измерения" prompt="Выберите единицу измерения" type="list">
      <formula1>"кг,г,л,мл,шт.,порц.,уп.,бут."</formula1>
    </dataValidation>
    <dataValidation sqref="G2:G137" showDropDown="0" showInputMessage="0" showErrorMessage="0" allowBlank="1" prompt="Выберите категорию" type="list">
      <formula1>"Мясо,Птица,Рыба,Овощи,Фрукты,Крупы,Мука и тесто,Молочные,Масла и жиры,Специи и приправы,Консервы,Соусы,Напитки,Прочее"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2" t="inlineStr">
        <is>
          <t>RestOS — Шаблон импорта техкарт</t>
        </is>
      </c>
    </row>
    <row r="2">
      <c r="A2" s="13" t="inlineStr">
        <is>
          <t>Ресторан: Шаршара-М</t>
        </is>
      </c>
    </row>
    <row r="3">
      <c r="A3" s="14" t="inlineStr"/>
    </row>
    <row r="4">
      <c r="A4" s="14" t="inlineStr">
        <is>
          <t>═══════════════════════════════════════════════════════</t>
        </is>
      </c>
    </row>
    <row r="5">
      <c r="A5" s="15" t="inlineStr">
        <is>
          <t>ЛИСТ 1: "Блюда" — Список всех блюд меню</t>
        </is>
      </c>
    </row>
    <row r="6">
      <c r="A6" s="14" t="inlineStr">
        <is>
          <t>═══════════════════════════════════════════════════════</t>
        </is>
      </c>
    </row>
    <row r="7">
      <c r="A7" s="14" t="inlineStr"/>
    </row>
    <row r="8">
      <c r="A8" s="16" t="inlineStr">
        <is>
          <t>Колонки:</t>
        </is>
      </c>
    </row>
    <row r="9">
      <c r="A9" s="14" t="inlineStr">
        <is>
          <t xml:space="preserve">  №                    — порядковый номер</t>
        </is>
      </c>
    </row>
    <row r="10">
      <c r="A10" s="14" t="inlineStr">
        <is>
          <t xml:space="preserve">  Категория            — раздел меню (Салаты, Супы, Вторые...)</t>
        </is>
      </c>
    </row>
    <row r="11">
      <c r="A11" s="14" t="inlineStr">
        <is>
          <t xml:space="preserve">  Название             — название блюда</t>
        </is>
      </c>
    </row>
    <row r="12">
      <c r="A12" s="14" t="inlineStr">
        <is>
          <t xml:space="preserve">  Станция              — куда пойдёт марка при заказе:</t>
        </is>
      </c>
    </row>
    <row r="13">
      <c r="A13" s="14" t="inlineStr">
        <is>
          <t xml:space="preserve">                         hot_kitchen = Горячий цех</t>
        </is>
      </c>
    </row>
    <row r="14">
      <c r="A14" s="14" t="inlineStr">
        <is>
          <t xml:space="preserve">                         cold_kitchen = Холодный цех</t>
        </is>
      </c>
    </row>
    <row r="15">
      <c r="A15" s="14" t="inlineStr">
        <is>
          <t xml:space="preserve">                         grill = Шашлычный</t>
        </is>
      </c>
    </row>
    <row r="16">
      <c r="A16" s="14" t="inlineStr">
        <is>
          <t xml:space="preserve">                         bar = Бар</t>
        </is>
      </c>
    </row>
    <row r="17">
      <c r="A17" s="14" t="inlineStr">
        <is>
          <t xml:space="preserve">                         showcase = Витрина (уже готово)</t>
        </is>
      </c>
    </row>
    <row r="18">
      <c r="A18" s="14" t="inlineStr">
        <is>
          <t xml:space="preserve">  Вес порции (г)       — вес одной порции в граммах</t>
        </is>
      </c>
    </row>
    <row r="19">
      <c r="A19" s="14" t="inlineStr">
        <is>
          <t xml:space="preserve">  Себест. порции (TJS) — себестоимость одной порции</t>
        </is>
      </c>
    </row>
    <row r="20">
      <c r="A20" s="14" t="inlineStr">
        <is>
          <t xml:space="preserve">  Цена продажи (TJS)  — цена в меню для гостя (ЗАПОЛНИТЬ синие)</t>
        </is>
      </c>
    </row>
    <row r="21">
      <c r="A21" s="14" t="inlineStr">
        <is>
          <t xml:space="preserve">  Food Cost %          — формула: себестоимость / цена × 100</t>
        </is>
      </c>
    </row>
    <row r="22">
      <c r="A22" s="14" t="inlineStr">
        <is>
          <t xml:space="preserve">  Наценка %            — формула: (цена - себест.) / себест. × 100</t>
        </is>
      </c>
    </row>
    <row r="23">
      <c r="A23" s="14" t="inlineStr">
        <is>
          <t xml:space="preserve">  Кол-во ингр.         — сколько ингредиентов в техкарте</t>
        </is>
      </c>
    </row>
    <row r="24">
      <c r="A24" s="14" t="inlineStr">
        <is>
          <t xml:space="preserve">  Время (мин)          — время приготовления (ЗАПОЛНИТЬ)</t>
        </is>
      </c>
    </row>
    <row r="25">
      <c r="A25" s="14" t="inlineStr">
        <is>
          <t xml:space="preserve">  Доступно             — Да/Нет, можно ли заказать</t>
        </is>
      </c>
    </row>
    <row r="26">
      <c r="A26" s="14" t="inlineStr"/>
    </row>
    <row r="27">
      <c r="A27" s="17" t="inlineStr">
        <is>
          <t>⚠ Синий шрифт = нужно заполнить вручную</t>
        </is>
      </c>
    </row>
    <row r="28">
      <c r="A28" s="11" t="inlineStr">
        <is>
          <t>⚠ Некоторые себестоимости за казан/партию — пересчитайте на порцию!</t>
        </is>
      </c>
    </row>
    <row r="29">
      <c r="A29" s="14" t="inlineStr"/>
    </row>
    <row r="30">
      <c r="A30" s="14" t="inlineStr">
        <is>
          <t>═══════════════════════════════════════════════════════</t>
        </is>
      </c>
    </row>
    <row r="31">
      <c r="A31" s="15" t="inlineStr">
        <is>
          <t>ЛИСТ 2: "Техкарты" — Состав каждого блюда</t>
        </is>
      </c>
    </row>
    <row r="32">
      <c r="A32" s="14" t="inlineStr">
        <is>
          <t>═══════════════════════════════════════════════════════</t>
        </is>
      </c>
    </row>
    <row r="33">
      <c r="A33" s="14" t="inlineStr"/>
    </row>
    <row r="34">
      <c r="A34" s="16" t="inlineStr">
        <is>
          <t>Колонки:</t>
        </is>
      </c>
    </row>
    <row r="35">
      <c r="A35" s="14" t="inlineStr">
        <is>
          <t xml:space="preserve">  Блюдо         — название (показывается только в первой строке)</t>
        </is>
      </c>
    </row>
    <row r="36">
      <c r="A36" s="14" t="inlineStr">
        <is>
          <t xml:space="preserve">  Категория      — раздел меню</t>
        </is>
      </c>
    </row>
    <row r="37">
      <c r="A37" s="14" t="inlineStr">
        <is>
          <t xml:space="preserve">  Ингредиент     — название ингредиента</t>
        </is>
      </c>
    </row>
    <row r="38">
      <c r="A38" s="14" t="inlineStr">
        <is>
          <t xml:space="preserve">  Масса (г)      — сколько грамм нужно на одну порцию</t>
        </is>
      </c>
    </row>
    <row r="39">
      <c r="A39" s="14" t="inlineStr">
        <is>
          <t xml:space="preserve">  Ед.            — единица измерения (кг, г, л, мл, шт.)</t>
        </is>
      </c>
    </row>
    <row r="40">
      <c r="A40" t="inlineStr">
        <is>
          <t xml:space="preserve">  Цена за кг     — закупочная цена за 1 кг (или за 1 л, 1 шт.)</t>
        </is>
      </c>
    </row>
    <row r="41">
      <c r="A41" t="inlineStr">
        <is>
          <t xml:space="preserve">  Стоимость      — масса × цена (себестоимость ингредиента в блюде)</t>
        </is>
      </c>
    </row>
    <row r="42">
      <c r="A42" t="inlineStr">
        <is>
          <t xml:space="preserve">  ИТОГО          — общая себестоимость блюда</t>
        </is>
      </c>
    </row>
    <row r="44">
      <c r="A44" t="inlineStr">
        <is>
          <t>═══════════════════════════════════════════════════════</t>
        </is>
      </c>
    </row>
    <row r="45">
      <c r="A45" s="15" t="inlineStr">
        <is>
          <t>ЛИСТ 3: "Ингредиенты" — Справочник ингредиентов</t>
        </is>
      </c>
    </row>
    <row r="46">
      <c r="A46" t="inlineStr">
        <is>
          <t>═══════════════════════════════════════════════════════</t>
        </is>
      </c>
    </row>
    <row r="48">
      <c r="A48" s="16" t="inlineStr">
        <is>
          <t>Колонки:</t>
        </is>
      </c>
    </row>
    <row r="49">
      <c r="A49" t="inlineStr">
        <is>
          <t xml:space="preserve">  №                         — порядковый номер</t>
        </is>
      </c>
    </row>
    <row r="50">
      <c r="A50" t="inlineStr">
        <is>
          <t xml:space="preserve">  Ингредиент                — название</t>
        </is>
      </c>
    </row>
    <row r="51">
      <c r="A51" t="inlineStr">
        <is>
          <t xml:space="preserve">  Ед.                       — единица хранения на складе (кг, л, шт.)</t>
        </is>
      </c>
    </row>
    <row r="52">
      <c r="A52" t="inlineStr">
        <is>
          <t xml:space="preserve">  Цена за ед. (TJS)        — закупочная цена за 1 единицу</t>
        </is>
      </c>
    </row>
    <row r="53">
      <c r="A53" t="inlineStr">
        <is>
          <t xml:space="preserve">  Отходы %                  — процент потерь при очистке/обработке</t>
        </is>
      </c>
    </row>
    <row r="54">
      <c r="A54" t="inlineStr">
        <is>
          <t xml:space="preserve">                              Морковь ~15%, Лук ~10%, Картофель ~20%</t>
        </is>
      </c>
    </row>
    <row r="55">
      <c r="A55" t="inlineStr">
        <is>
          <t xml:space="preserve">                              Мясо, крупы, масло = 0%</t>
        </is>
      </c>
    </row>
    <row r="56">
      <c r="A56" t="inlineStr">
        <is>
          <t xml:space="preserve">  Мин. остаток              — при каком остатке предупредить о нехватке</t>
        </is>
      </c>
    </row>
    <row r="57">
      <c r="A57" t="inlineStr">
        <is>
          <t xml:space="preserve">  Категория                 — группа для учёта на складе:</t>
        </is>
      </c>
    </row>
    <row r="58">
      <c r="A58" t="inlineStr">
        <is>
          <t xml:space="preserve">                              Мясо, Птица, Овощи, Крупы, Молочные и т.д.</t>
        </is>
      </c>
    </row>
    <row r="59">
      <c r="A59" t="inlineStr">
        <is>
          <t xml:space="preserve">  Используется в блюдах     — в скольких блюдах используется этот ингредиент</t>
        </is>
      </c>
    </row>
    <row r="60">
      <c r="A60" t="inlineStr">
        <is>
          <t xml:space="preserve">                              Чем больше число — тем критичнее ингредиент</t>
        </is>
      </c>
    </row>
    <row r="61">
      <c r="A61" t="inlineStr">
        <is>
          <t xml:space="preserve">                              Если 0 — ингредиент нигде не используется</t>
        </is>
      </c>
    </row>
    <row r="63">
      <c r="A63" t="inlineStr">
        <is>
          <t>═══════════════════════════════════════════════════════</t>
        </is>
      </c>
    </row>
    <row r="64">
      <c r="A64" s="15" t="inlineStr">
        <is>
          <t>КАК ИМПОРТИРОВАТЬ:</t>
        </is>
      </c>
    </row>
    <row r="65">
      <c r="A65" t="inlineStr">
        <is>
          <t>═══════════════════════════════════════════════════════</t>
        </is>
      </c>
    </row>
    <row r="67">
      <c r="A67" t="inlineStr">
        <is>
          <t>1. Проверьте и заполните все пустые ячейки (синий шрифт)</t>
        </is>
      </c>
    </row>
    <row r="68">
      <c r="A68" t="inlineStr">
        <is>
          <t>2. Пересчитайте себестоимости которые указаны за казан → на порцию</t>
        </is>
      </c>
    </row>
    <row r="69">
      <c r="A69" t="inlineStr">
        <is>
          <t>3. Проверьте единицы измерения ингредиентов</t>
        </is>
      </c>
    </row>
    <row r="70">
      <c r="A70" t="inlineStr">
        <is>
          <t>4. Проверьте категории ингредиентов (62 шт. в "Прочее" — уточните)</t>
        </is>
      </c>
    </row>
    <row r="71">
      <c r="A71" t="inlineStr">
        <is>
          <t>5. Загрузите файл в RestOS → Настройки → Импорт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2026-03-31T18:09:09Z</dcterms:created>
  <dcterms:modified xmlns:dcterms="http://purl.org/dc/terms/" xmlns:xsi="http://www.w3.org/2001/XMLSchema-instance" xsi:type="dcterms:W3CDTF">2026-04-02T04:54:11Z</dcterms:modified>
</cp:coreProperties>
</file>